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D:\GoogleDrive\Projects\NotiFlow\Docs\"/>
    </mc:Choice>
  </mc:AlternateContent>
  <xr:revisionPtr revIDLastSave="0" documentId="13_ncr:1_{DC71D13C-2D33-40BD-9D22-29758F97D608}" xr6:coauthVersionLast="47" xr6:coauthVersionMax="47" xr10:uidLastSave="{00000000-0000-0000-0000-000000000000}"/>
  <bookViews>
    <workbookView xWindow="15705" yWindow="-16320" windowWidth="29040" windowHeight="15720" tabRatio="481" activeTab="4" xr2:uid="{00000000-000D-0000-FFFF-FFFF00000000}"/>
  </bookViews>
  <sheets>
    <sheet name="요약" sheetId="2" r:id="rId1"/>
    <sheet name="판매현황" sheetId="1" r:id="rId2"/>
    <sheet name="거래처 마스터" sheetId="3" r:id="rId3"/>
    <sheet name="품목 마스터" sheetId="4" r:id="rId4"/>
    <sheet name="거래내역" sheetId="5" r:id="rId5"/>
  </sheets>
  <definedNames>
    <definedName name="_xlnm._FilterDatabase" localSheetId="1" hidden="1">판매현황!$A$2:$K$500</definedName>
  </definedNames>
  <calcPr calcId="191028"/>
  <pivotCaches>
    <pivotCache cacheId="0" r:id="rId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7" i="1" l="1"/>
  <c r="H247" i="1"/>
  <c r="I247" i="1"/>
  <c r="E79" i="1"/>
  <c r="E463" i="1"/>
  <c r="E459" i="1"/>
  <c r="N16" i="1"/>
  <c r="H437" i="1"/>
  <c r="I437" i="1"/>
  <c r="F384" i="1"/>
  <c r="F383" i="1"/>
  <c r="F366" i="1"/>
  <c r="G366" i="1"/>
  <c r="H366" i="1"/>
  <c r="I366" i="1"/>
  <c r="F357" i="1"/>
  <c r="F372" i="1"/>
  <c r="G372" i="1"/>
  <c r="H372" i="1"/>
  <c r="I372" i="1"/>
  <c r="F379" i="1"/>
  <c r="F349" i="1"/>
  <c r="G349" i="1"/>
  <c r="H349" i="1"/>
  <c r="I349" i="1"/>
  <c r="F344" i="1"/>
  <c r="G344" i="1"/>
  <c r="H344" i="1"/>
  <c r="I344" i="1"/>
  <c r="F352" i="1"/>
  <c r="F351" i="1"/>
  <c r="F338" i="1"/>
  <c r="G338" i="1"/>
  <c r="H338" i="1"/>
  <c r="I338" i="1"/>
  <c r="F337" i="1"/>
  <c r="F336" i="1"/>
  <c r="G336" i="1"/>
  <c r="H336" i="1"/>
  <c r="I336" i="1"/>
  <c r="F335" i="1"/>
  <c r="D323" i="1"/>
  <c r="D322" i="1"/>
  <c r="D321" i="1"/>
  <c r="D315" i="1"/>
  <c r="D320" i="1"/>
  <c r="D318" i="1"/>
  <c r="D317" i="1"/>
  <c r="D316" i="1"/>
  <c r="F401" i="1"/>
  <c r="G401" i="1"/>
  <c r="H401" i="1"/>
  <c r="I401" i="1"/>
  <c r="F400" i="1"/>
  <c r="G400" i="1"/>
  <c r="H400" i="1"/>
  <c r="I400" i="1"/>
  <c r="G81" i="1"/>
  <c r="H81" i="1"/>
  <c r="I81" i="1"/>
  <c r="G82" i="1"/>
  <c r="H82" i="1"/>
  <c r="I82" i="1"/>
  <c r="G83" i="1"/>
  <c r="H83" i="1"/>
  <c r="I83" i="1"/>
  <c r="G84" i="1"/>
  <c r="H84" i="1"/>
  <c r="I84" i="1"/>
  <c r="G85" i="1"/>
  <c r="H85" i="1"/>
  <c r="I85" i="1"/>
  <c r="G87" i="1"/>
  <c r="H87" i="1"/>
  <c r="I87" i="1"/>
  <c r="G88" i="1"/>
  <c r="H88" i="1"/>
  <c r="I88" i="1"/>
  <c r="G89" i="1"/>
  <c r="H89" i="1"/>
  <c r="I89" i="1"/>
  <c r="G90" i="1"/>
  <c r="H90" i="1"/>
  <c r="I90" i="1"/>
  <c r="G91" i="1"/>
  <c r="H91" i="1"/>
  <c r="I91" i="1"/>
  <c r="G80" i="1"/>
  <c r="H80" i="1"/>
  <c r="I80" i="1"/>
  <c r="G98" i="1"/>
  <c r="H98" i="1"/>
  <c r="I98" i="1"/>
  <c r="G99" i="1"/>
  <c r="H99" i="1"/>
  <c r="I99" i="1"/>
  <c r="G101" i="1"/>
  <c r="H101" i="1"/>
  <c r="I101" i="1"/>
  <c r="G102" i="1"/>
  <c r="H102" i="1"/>
  <c r="I102" i="1"/>
  <c r="G103" i="1"/>
  <c r="H103" i="1"/>
  <c r="I103" i="1"/>
  <c r="G105" i="1"/>
  <c r="H105" i="1"/>
  <c r="I105" i="1"/>
  <c r="G106" i="1"/>
  <c r="H106" i="1"/>
  <c r="I106" i="1"/>
  <c r="G107" i="1"/>
  <c r="H107" i="1"/>
  <c r="I107" i="1"/>
  <c r="G108" i="1"/>
  <c r="H108" i="1"/>
  <c r="I108" i="1"/>
  <c r="G109" i="1"/>
  <c r="H109" i="1"/>
  <c r="I109" i="1"/>
  <c r="G110" i="1"/>
  <c r="H110" i="1"/>
  <c r="I110" i="1"/>
  <c r="G111" i="1"/>
  <c r="H111" i="1"/>
  <c r="I111" i="1"/>
  <c r="G112" i="1"/>
  <c r="H112" i="1"/>
  <c r="I112" i="1"/>
  <c r="G113" i="1"/>
  <c r="H113" i="1"/>
  <c r="I113" i="1"/>
  <c r="G115" i="1"/>
  <c r="H115" i="1"/>
  <c r="I115" i="1"/>
  <c r="G116" i="1"/>
  <c r="H116" i="1"/>
  <c r="I116" i="1"/>
  <c r="G117" i="1"/>
  <c r="H117" i="1"/>
  <c r="I117" i="1"/>
  <c r="G118" i="1"/>
  <c r="H118" i="1"/>
  <c r="I118" i="1"/>
  <c r="G119" i="1"/>
  <c r="H119" i="1"/>
  <c r="I119" i="1"/>
  <c r="G120" i="1"/>
  <c r="H120" i="1"/>
  <c r="I120" i="1"/>
  <c r="G121" i="1"/>
  <c r="H121" i="1"/>
  <c r="I121" i="1"/>
  <c r="G122" i="1"/>
  <c r="H122" i="1"/>
  <c r="I122" i="1"/>
  <c r="G97" i="1"/>
  <c r="H97" i="1"/>
  <c r="I97" i="1"/>
  <c r="G128" i="1"/>
  <c r="H128" i="1"/>
  <c r="I128" i="1"/>
  <c r="G130" i="1"/>
  <c r="G131" i="1"/>
  <c r="H131" i="1"/>
  <c r="I131" i="1"/>
  <c r="G133" i="1"/>
  <c r="H133" i="1"/>
  <c r="I133" i="1"/>
  <c r="G134" i="1"/>
  <c r="H134" i="1"/>
  <c r="I134" i="1"/>
  <c r="G136" i="1"/>
  <c r="H136" i="1"/>
  <c r="I136" i="1"/>
  <c r="G138" i="1"/>
  <c r="H139" i="1"/>
  <c r="I139" i="1"/>
  <c r="G140" i="1"/>
  <c r="H140" i="1"/>
  <c r="I140" i="1"/>
  <c r="G141" i="1"/>
  <c r="H141" i="1"/>
  <c r="I141" i="1"/>
  <c r="G142" i="1"/>
  <c r="H142" i="1"/>
  <c r="I142" i="1"/>
  <c r="G126" i="1"/>
  <c r="H126" i="1"/>
  <c r="I126" i="1"/>
  <c r="G148" i="1"/>
  <c r="H148" i="1"/>
  <c r="I148" i="1"/>
  <c r="G149" i="1"/>
  <c r="H149" i="1"/>
  <c r="I149" i="1"/>
  <c r="G150" i="1"/>
  <c r="H150" i="1"/>
  <c r="I150" i="1"/>
  <c r="G151" i="1"/>
  <c r="H151" i="1"/>
  <c r="I151" i="1"/>
  <c r="G152" i="1"/>
  <c r="H152" i="1"/>
  <c r="I152" i="1"/>
  <c r="G153" i="1"/>
  <c r="H153" i="1"/>
  <c r="I153" i="1"/>
  <c r="G147" i="1"/>
  <c r="H147" i="1"/>
  <c r="I147" i="1"/>
  <c r="G145" i="1"/>
  <c r="H145" i="1"/>
  <c r="I145" i="1"/>
  <c r="G144" i="1"/>
  <c r="H144" i="1"/>
  <c r="I144" i="1"/>
  <c r="G156" i="1"/>
  <c r="H156" i="1"/>
  <c r="I156" i="1"/>
  <c r="G157" i="1"/>
  <c r="H157" i="1"/>
  <c r="I157" i="1"/>
  <c r="G158" i="1"/>
  <c r="H158" i="1"/>
  <c r="I158" i="1"/>
  <c r="G159" i="1"/>
  <c r="H159" i="1"/>
  <c r="I159" i="1"/>
  <c r="G160" i="1"/>
  <c r="H160" i="1"/>
  <c r="I160" i="1"/>
  <c r="G161" i="1"/>
  <c r="H161" i="1"/>
  <c r="I161" i="1"/>
  <c r="G155" i="1"/>
  <c r="G168" i="1"/>
  <c r="H168" i="1"/>
  <c r="I168" i="1"/>
  <c r="G169" i="1"/>
  <c r="H169" i="1"/>
  <c r="I169" i="1"/>
  <c r="G170" i="1"/>
  <c r="H170" i="1"/>
  <c r="I170" i="1"/>
  <c r="G171" i="1"/>
  <c r="H171" i="1"/>
  <c r="I171" i="1"/>
  <c r="G172" i="1"/>
  <c r="H172" i="1"/>
  <c r="I172" i="1"/>
  <c r="G173" i="1"/>
  <c r="H173" i="1"/>
  <c r="I173" i="1"/>
  <c r="G174" i="1"/>
  <c r="H174" i="1"/>
  <c r="I174" i="1"/>
  <c r="G175" i="1"/>
  <c r="H175" i="1"/>
  <c r="I175" i="1"/>
  <c r="G176" i="1"/>
  <c r="H176" i="1"/>
  <c r="I176" i="1"/>
  <c r="G167" i="1"/>
  <c r="H167" i="1"/>
  <c r="I167" i="1"/>
  <c r="N15" i="1"/>
  <c r="G190" i="1"/>
  <c r="H190" i="1"/>
  <c r="I190" i="1"/>
  <c r="G191" i="1"/>
  <c r="H191" i="1"/>
  <c r="I191" i="1"/>
  <c r="G192" i="1"/>
  <c r="H192" i="1"/>
  <c r="I192" i="1"/>
  <c r="G193" i="1"/>
  <c r="H193" i="1"/>
  <c r="I193" i="1"/>
  <c r="G194" i="1"/>
  <c r="H194" i="1"/>
  <c r="I194" i="1"/>
  <c r="G195" i="1"/>
  <c r="H195" i="1"/>
  <c r="I195" i="1"/>
  <c r="G196" i="1"/>
  <c r="H196" i="1"/>
  <c r="I196" i="1"/>
  <c r="G197" i="1"/>
  <c r="H197" i="1"/>
  <c r="I197" i="1"/>
  <c r="G198" i="1"/>
  <c r="H198" i="1"/>
  <c r="I198" i="1"/>
  <c r="G189" i="1"/>
  <c r="H189" i="1"/>
  <c r="I189" i="1"/>
  <c r="G179" i="1"/>
  <c r="H179" i="1"/>
  <c r="I179" i="1"/>
  <c r="G180" i="1"/>
  <c r="H180" i="1"/>
  <c r="I180" i="1"/>
  <c r="G181" i="1"/>
  <c r="H181" i="1"/>
  <c r="I181" i="1"/>
  <c r="G182" i="1"/>
  <c r="H182" i="1"/>
  <c r="I182" i="1"/>
  <c r="G183" i="1"/>
  <c r="H183" i="1"/>
  <c r="I183" i="1"/>
  <c r="G184" i="1"/>
  <c r="H184" i="1"/>
  <c r="I184" i="1"/>
  <c r="G185" i="1"/>
  <c r="H185" i="1"/>
  <c r="I185" i="1"/>
  <c r="G186" i="1"/>
  <c r="H186" i="1"/>
  <c r="I186" i="1"/>
  <c r="G187" i="1"/>
  <c r="H187" i="1"/>
  <c r="I187" i="1"/>
  <c r="G178" i="1"/>
  <c r="G201" i="1"/>
  <c r="H201" i="1"/>
  <c r="I201" i="1"/>
  <c r="G202" i="1"/>
  <c r="H202" i="1"/>
  <c r="I202" i="1"/>
  <c r="G203" i="1"/>
  <c r="H203" i="1"/>
  <c r="I203" i="1"/>
  <c r="G204" i="1"/>
  <c r="H204" i="1"/>
  <c r="I204" i="1"/>
  <c r="G205" i="1"/>
  <c r="H205" i="1"/>
  <c r="I205" i="1"/>
  <c r="G206" i="1"/>
  <c r="H206" i="1"/>
  <c r="I206" i="1"/>
  <c r="G207" i="1"/>
  <c r="H207" i="1"/>
  <c r="I207" i="1"/>
  <c r="G200" i="1"/>
  <c r="H200" i="1"/>
  <c r="I200" i="1"/>
  <c r="G494" i="1"/>
  <c r="F486" i="1"/>
  <c r="G486" i="1"/>
  <c r="H486" i="1"/>
  <c r="I486" i="1"/>
  <c r="F487" i="1"/>
  <c r="G487" i="1"/>
  <c r="H487" i="1"/>
  <c r="I487" i="1"/>
  <c r="G484" i="1"/>
  <c r="H484" i="1"/>
  <c r="I484" i="1"/>
  <c r="G492" i="1"/>
  <c r="H492" i="1"/>
  <c r="I492" i="1"/>
  <c r="G491" i="1"/>
  <c r="H491" i="1"/>
  <c r="I491" i="1"/>
  <c r="G482" i="1"/>
  <c r="H482" i="1"/>
  <c r="I482" i="1"/>
  <c r="G481" i="1"/>
  <c r="H481" i="1"/>
  <c r="I481" i="1"/>
  <c r="G480" i="1"/>
  <c r="H480" i="1"/>
  <c r="I480" i="1"/>
  <c r="G479" i="1"/>
  <c r="G458" i="1"/>
  <c r="H458" i="1"/>
  <c r="I458" i="1"/>
  <c r="G457" i="1"/>
  <c r="H457" i="1"/>
  <c r="I457" i="1"/>
  <c r="G477" i="1"/>
  <c r="G475" i="1"/>
  <c r="G472" i="1"/>
  <c r="H472" i="1"/>
  <c r="I472" i="1"/>
  <c r="G471" i="1"/>
  <c r="H471" i="1"/>
  <c r="I471" i="1"/>
  <c r="G469" i="1"/>
  <c r="H469" i="1"/>
  <c r="I469" i="1"/>
  <c r="G468" i="1"/>
  <c r="H468" i="1"/>
  <c r="I468" i="1"/>
  <c r="G461" i="1"/>
  <c r="H461" i="1"/>
  <c r="I461" i="1"/>
  <c r="G462" i="1"/>
  <c r="G460" i="1"/>
  <c r="H460" i="1"/>
  <c r="I460" i="1"/>
  <c r="G450" i="1"/>
  <c r="H450" i="1"/>
  <c r="I450" i="1"/>
  <c r="G451" i="1"/>
  <c r="H451" i="1"/>
  <c r="I451" i="1"/>
  <c r="G452" i="1"/>
  <c r="H452" i="1"/>
  <c r="I452" i="1"/>
  <c r="G453" i="1"/>
  <c r="H453" i="1"/>
  <c r="I453" i="1"/>
  <c r="G454" i="1"/>
  <c r="H454" i="1"/>
  <c r="I454" i="1"/>
  <c r="G455" i="1"/>
  <c r="H455" i="1"/>
  <c r="I455" i="1"/>
  <c r="G449" i="1"/>
  <c r="H449" i="1"/>
  <c r="I449" i="1"/>
  <c r="G439" i="1"/>
  <c r="H439" i="1"/>
  <c r="I439" i="1"/>
  <c r="G440" i="1"/>
  <c r="G441" i="1"/>
  <c r="G442" i="1"/>
  <c r="G443" i="1"/>
  <c r="H443" i="1"/>
  <c r="I443" i="1"/>
  <c r="G444" i="1"/>
  <c r="H444" i="1"/>
  <c r="I444" i="1"/>
  <c r="G445" i="1"/>
  <c r="H445" i="1"/>
  <c r="I445" i="1"/>
  <c r="G446" i="1"/>
  <c r="H446" i="1"/>
  <c r="I446" i="1"/>
  <c r="G447" i="1"/>
  <c r="H447" i="1"/>
  <c r="I447" i="1"/>
  <c r="G438" i="1"/>
  <c r="G434" i="1"/>
  <c r="G435" i="1"/>
  <c r="H435" i="1"/>
  <c r="I435" i="1"/>
  <c r="G430" i="1"/>
  <c r="H430" i="1"/>
  <c r="I430" i="1"/>
  <c r="G432" i="1"/>
  <c r="H432" i="1"/>
  <c r="I432" i="1"/>
  <c r="E433" i="1"/>
  <c r="H419" i="1"/>
  <c r="I419" i="1"/>
  <c r="E421" i="1"/>
  <c r="E494" i="1"/>
  <c r="E495" i="1"/>
  <c r="O16" i="1"/>
  <c r="G320" i="1"/>
  <c r="H320" i="1"/>
  <c r="I320" i="1"/>
  <c r="G321" i="1"/>
  <c r="H321" i="1"/>
  <c r="I321" i="1"/>
  <c r="G322" i="1"/>
  <c r="H322" i="1"/>
  <c r="I322" i="1"/>
  <c r="G323" i="1"/>
  <c r="H323" i="1"/>
  <c r="I323" i="1"/>
  <c r="G325" i="1"/>
  <c r="H325" i="1"/>
  <c r="I325" i="1"/>
  <c r="G326" i="1"/>
  <c r="H326" i="1"/>
  <c r="I326" i="1"/>
  <c r="G327" i="1"/>
  <c r="H327" i="1"/>
  <c r="I327" i="1"/>
  <c r="G328" i="1"/>
  <c r="H328" i="1"/>
  <c r="I328" i="1"/>
  <c r="G329" i="1"/>
  <c r="H329" i="1"/>
  <c r="I329" i="1"/>
  <c r="G330" i="1"/>
  <c r="H330" i="1"/>
  <c r="I330" i="1"/>
  <c r="G331" i="1"/>
  <c r="H331" i="1"/>
  <c r="I331" i="1"/>
  <c r="G332" i="1"/>
  <c r="H332" i="1"/>
  <c r="I332" i="1"/>
  <c r="G333" i="1"/>
  <c r="H333" i="1"/>
  <c r="I333" i="1"/>
  <c r="G334" i="1"/>
  <c r="H334" i="1"/>
  <c r="I334" i="1"/>
  <c r="G335" i="1"/>
  <c r="H335" i="1"/>
  <c r="I335" i="1"/>
  <c r="G337" i="1"/>
  <c r="H337" i="1"/>
  <c r="I337" i="1"/>
  <c r="G339" i="1"/>
  <c r="H339" i="1"/>
  <c r="I339" i="1"/>
  <c r="G341" i="1"/>
  <c r="H341" i="1"/>
  <c r="I341" i="1"/>
  <c r="G342" i="1"/>
  <c r="H342" i="1"/>
  <c r="I342" i="1"/>
  <c r="G343" i="1"/>
  <c r="H343" i="1"/>
  <c r="I343" i="1"/>
  <c r="G345" i="1"/>
  <c r="H345" i="1"/>
  <c r="I345" i="1"/>
  <c r="G346" i="1"/>
  <c r="H346" i="1"/>
  <c r="I346" i="1"/>
  <c r="G347" i="1"/>
  <c r="H347" i="1"/>
  <c r="I347" i="1"/>
  <c r="G348" i="1"/>
  <c r="H348" i="1"/>
  <c r="I348" i="1"/>
  <c r="G350" i="1"/>
  <c r="H350" i="1"/>
  <c r="I350" i="1"/>
  <c r="G351" i="1"/>
  <c r="H351" i="1"/>
  <c r="I351" i="1"/>
  <c r="G352" i="1"/>
  <c r="H352" i="1"/>
  <c r="I352" i="1"/>
  <c r="G354" i="1"/>
  <c r="H354" i="1"/>
  <c r="I354" i="1"/>
  <c r="G355" i="1"/>
  <c r="H355" i="1"/>
  <c r="I355" i="1"/>
  <c r="G356" i="1"/>
  <c r="H356" i="1"/>
  <c r="I356" i="1"/>
  <c r="G357" i="1"/>
  <c r="H357" i="1"/>
  <c r="I357" i="1"/>
  <c r="G358" i="1"/>
  <c r="H358" i="1"/>
  <c r="I358" i="1"/>
  <c r="G359" i="1"/>
  <c r="H359" i="1"/>
  <c r="I359" i="1"/>
  <c r="G360" i="1"/>
  <c r="H360" i="1"/>
  <c r="I360" i="1"/>
  <c r="G361" i="1"/>
  <c r="H361" i="1"/>
  <c r="I361" i="1"/>
  <c r="G362" i="1"/>
  <c r="H362" i="1"/>
  <c r="I362" i="1"/>
  <c r="G363" i="1"/>
  <c r="H363" i="1"/>
  <c r="I363" i="1"/>
  <c r="G364" i="1"/>
  <c r="H364" i="1"/>
  <c r="I364" i="1"/>
  <c r="G365" i="1"/>
  <c r="H365" i="1"/>
  <c r="I365" i="1"/>
  <c r="G367" i="1"/>
  <c r="H367" i="1"/>
  <c r="I367" i="1"/>
  <c r="G369" i="1"/>
  <c r="H369" i="1"/>
  <c r="I369" i="1"/>
  <c r="G370" i="1"/>
  <c r="H370" i="1"/>
  <c r="I370" i="1"/>
  <c r="G371" i="1"/>
  <c r="H371" i="1"/>
  <c r="I371" i="1"/>
  <c r="G373" i="1"/>
  <c r="H373" i="1"/>
  <c r="I373" i="1"/>
  <c r="G374" i="1"/>
  <c r="H374" i="1"/>
  <c r="I374" i="1"/>
  <c r="G375" i="1"/>
  <c r="H375" i="1"/>
  <c r="I375" i="1"/>
  <c r="G376" i="1"/>
  <c r="H376" i="1"/>
  <c r="I376" i="1"/>
  <c r="G377" i="1"/>
  <c r="H377" i="1"/>
  <c r="I377" i="1"/>
  <c r="G378" i="1"/>
  <c r="H378" i="1"/>
  <c r="I378" i="1"/>
  <c r="G379" i="1"/>
  <c r="H379" i="1"/>
  <c r="I379" i="1"/>
  <c r="G380" i="1"/>
  <c r="H380" i="1"/>
  <c r="I380" i="1"/>
  <c r="G381" i="1"/>
  <c r="H381" i="1"/>
  <c r="I381" i="1"/>
  <c r="G383" i="1"/>
  <c r="H383" i="1"/>
  <c r="I383" i="1"/>
  <c r="G384" i="1"/>
  <c r="H384" i="1"/>
  <c r="I384" i="1"/>
  <c r="G386" i="1"/>
  <c r="H386" i="1"/>
  <c r="I386" i="1"/>
  <c r="G387" i="1"/>
  <c r="H387" i="1"/>
  <c r="I387" i="1"/>
  <c r="G388" i="1"/>
  <c r="H388" i="1"/>
  <c r="I388" i="1"/>
  <c r="G389" i="1"/>
  <c r="H389" i="1"/>
  <c r="I389" i="1"/>
  <c r="G390" i="1"/>
  <c r="H390" i="1"/>
  <c r="I390" i="1"/>
  <c r="G392" i="1"/>
  <c r="H392" i="1"/>
  <c r="I392" i="1"/>
  <c r="G393" i="1"/>
  <c r="H393" i="1"/>
  <c r="I393" i="1"/>
  <c r="G394" i="1"/>
  <c r="H394" i="1"/>
  <c r="I394" i="1"/>
  <c r="G395" i="1"/>
  <c r="H395" i="1"/>
  <c r="I395" i="1"/>
  <c r="G397" i="1"/>
  <c r="H397" i="1"/>
  <c r="I397" i="1"/>
  <c r="G398" i="1"/>
  <c r="H398" i="1"/>
  <c r="I398" i="1"/>
  <c r="G399" i="1"/>
  <c r="H399" i="1"/>
  <c r="I399" i="1"/>
  <c r="G402" i="1"/>
  <c r="H402" i="1"/>
  <c r="I402" i="1"/>
  <c r="G403" i="1"/>
  <c r="H403" i="1"/>
  <c r="I403" i="1"/>
  <c r="G404" i="1"/>
  <c r="H404" i="1"/>
  <c r="I404" i="1"/>
  <c r="G405" i="1"/>
  <c r="H405" i="1"/>
  <c r="I405" i="1"/>
  <c r="G406" i="1"/>
  <c r="H406" i="1"/>
  <c r="I406" i="1"/>
  <c r="G407" i="1"/>
  <c r="H407" i="1"/>
  <c r="I407" i="1"/>
  <c r="G408" i="1"/>
  <c r="H408" i="1"/>
  <c r="I408" i="1"/>
  <c r="G410" i="1"/>
  <c r="H410" i="1"/>
  <c r="I410" i="1"/>
  <c r="G411" i="1"/>
  <c r="H411" i="1"/>
  <c r="I411" i="1"/>
  <c r="G412" i="1"/>
  <c r="H412" i="1"/>
  <c r="I412" i="1"/>
  <c r="G413" i="1"/>
  <c r="H413" i="1"/>
  <c r="I413" i="1"/>
  <c r="G414" i="1"/>
  <c r="H414" i="1"/>
  <c r="I414" i="1"/>
  <c r="G415" i="1"/>
  <c r="H415" i="1"/>
  <c r="I415" i="1"/>
  <c r="G416" i="1"/>
  <c r="H416" i="1"/>
  <c r="I416" i="1"/>
  <c r="G300" i="1"/>
  <c r="H300" i="1"/>
  <c r="I300" i="1"/>
  <c r="G301" i="1"/>
  <c r="H301" i="1"/>
  <c r="I301" i="1"/>
  <c r="G302" i="1"/>
  <c r="H302" i="1"/>
  <c r="I302" i="1"/>
  <c r="G303" i="1"/>
  <c r="H303" i="1"/>
  <c r="I303" i="1"/>
  <c r="G304" i="1"/>
  <c r="H304" i="1"/>
  <c r="I304" i="1"/>
  <c r="G305" i="1"/>
  <c r="H305" i="1"/>
  <c r="I305" i="1"/>
  <c r="G306" i="1"/>
  <c r="H306" i="1"/>
  <c r="I306" i="1"/>
  <c r="G307" i="1"/>
  <c r="H307" i="1"/>
  <c r="I307" i="1"/>
  <c r="G308" i="1"/>
  <c r="H308" i="1"/>
  <c r="I308" i="1"/>
  <c r="G309" i="1"/>
  <c r="H309" i="1"/>
  <c r="I309" i="1"/>
  <c r="G310" i="1"/>
  <c r="G311" i="1"/>
  <c r="H311" i="1"/>
  <c r="I311" i="1"/>
  <c r="G312" i="1"/>
  <c r="H312" i="1"/>
  <c r="I312" i="1"/>
  <c r="G313" i="1"/>
  <c r="H313" i="1"/>
  <c r="I313" i="1"/>
  <c r="G315" i="1"/>
  <c r="G316" i="1"/>
  <c r="H316" i="1"/>
  <c r="I316" i="1"/>
  <c r="G317" i="1"/>
  <c r="H317" i="1"/>
  <c r="I317" i="1"/>
  <c r="G318" i="1"/>
  <c r="H318" i="1"/>
  <c r="I318" i="1"/>
  <c r="G299" i="1"/>
  <c r="H299" i="1"/>
  <c r="I299" i="1"/>
  <c r="G281" i="1"/>
  <c r="H281" i="1"/>
  <c r="I281" i="1"/>
  <c r="G282" i="1"/>
  <c r="H282" i="1"/>
  <c r="I282" i="1"/>
  <c r="G283" i="1"/>
  <c r="H283" i="1"/>
  <c r="I283" i="1"/>
  <c r="G284" i="1"/>
  <c r="H284" i="1"/>
  <c r="I284" i="1"/>
  <c r="G285" i="1"/>
  <c r="H285" i="1"/>
  <c r="I285" i="1"/>
  <c r="G286" i="1"/>
  <c r="H286" i="1"/>
  <c r="I286" i="1"/>
  <c r="G287" i="1"/>
  <c r="H287" i="1"/>
  <c r="I287" i="1"/>
  <c r="G288" i="1"/>
  <c r="H288" i="1"/>
  <c r="I288" i="1"/>
  <c r="G289" i="1"/>
  <c r="H289" i="1"/>
  <c r="I289" i="1"/>
  <c r="G290" i="1"/>
  <c r="H290" i="1"/>
  <c r="I290" i="1"/>
  <c r="G291" i="1"/>
  <c r="H291" i="1"/>
  <c r="I291" i="1"/>
  <c r="G292" i="1"/>
  <c r="H292" i="1"/>
  <c r="I292" i="1"/>
  <c r="G293" i="1"/>
  <c r="H293" i="1"/>
  <c r="I293" i="1"/>
  <c r="G294" i="1"/>
  <c r="H294" i="1"/>
  <c r="I294" i="1"/>
  <c r="G295" i="1"/>
  <c r="H295" i="1"/>
  <c r="I295" i="1"/>
  <c r="G296" i="1"/>
  <c r="H296" i="1"/>
  <c r="I296" i="1"/>
  <c r="G297" i="1"/>
  <c r="H297" i="1"/>
  <c r="I297" i="1"/>
  <c r="G280" i="1"/>
  <c r="H280" i="1"/>
  <c r="I280" i="1"/>
  <c r="G264" i="1"/>
  <c r="H264" i="1"/>
  <c r="I264" i="1"/>
  <c r="G265" i="1"/>
  <c r="H265" i="1"/>
  <c r="I265" i="1"/>
  <c r="G266" i="1"/>
  <c r="H266" i="1"/>
  <c r="I266" i="1"/>
  <c r="G267" i="1"/>
  <c r="H267" i="1"/>
  <c r="I267" i="1"/>
  <c r="G268" i="1"/>
  <c r="H268" i="1"/>
  <c r="I268" i="1"/>
  <c r="G269" i="1"/>
  <c r="H269" i="1"/>
  <c r="I269" i="1"/>
  <c r="G270" i="1"/>
  <c r="H270" i="1"/>
  <c r="I270" i="1"/>
  <c r="G271" i="1"/>
  <c r="H271" i="1"/>
  <c r="I271" i="1"/>
  <c r="G272" i="1"/>
  <c r="H272" i="1"/>
  <c r="I272" i="1"/>
  <c r="G273" i="1"/>
  <c r="H273" i="1"/>
  <c r="I273" i="1"/>
  <c r="G274" i="1"/>
  <c r="H274" i="1"/>
  <c r="I274" i="1"/>
  <c r="G275" i="1"/>
  <c r="H275" i="1"/>
  <c r="I275" i="1"/>
  <c r="G276" i="1"/>
  <c r="H276" i="1"/>
  <c r="I276" i="1"/>
  <c r="G277" i="1"/>
  <c r="H277" i="1"/>
  <c r="I277" i="1"/>
  <c r="G278" i="1"/>
  <c r="H278" i="1"/>
  <c r="I278" i="1"/>
  <c r="G263" i="1"/>
  <c r="H263" i="1"/>
  <c r="I263" i="1"/>
  <c r="G244" i="1"/>
  <c r="H244" i="1"/>
  <c r="I244" i="1"/>
  <c r="G245" i="1"/>
  <c r="H245" i="1"/>
  <c r="I245" i="1"/>
  <c r="G248" i="1"/>
  <c r="H248" i="1"/>
  <c r="I248" i="1"/>
  <c r="G249" i="1"/>
  <c r="H249" i="1"/>
  <c r="I249" i="1"/>
  <c r="G250" i="1"/>
  <c r="H250" i="1"/>
  <c r="I250" i="1"/>
  <c r="G251" i="1"/>
  <c r="H251" i="1"/>
  <c r="I251" i="1"/>
  <c r="G252" i="1"/>
  <c r="H252" i="1"/>
  <c r="I252" i="1"/>
  <c r="G253" i="1"/>
  <c r="H253" i="1"/>
  <c r="I253" i="1"/>
  <c r="G254" i="1"/>
  <c r="H254" i="1"/>
  <c r="I254" i="1"/>
  <c r="G255" i="1"/>
  <c r="H255" i="1"/>
  <c r="I255" i="1"/>
  <c r="G256" i="1"/>
  <c r="H256" i="1"/>
  <c r="I256" i="1"/>
  <c r="G257" i="1"/>
  <c r="H257" i="1"/>
  <c r="I257" i="1"/>
  <c r="G258" i="1"/>
  <c r="H258" i="1"/>
  <c r="I258" i="1"/>
  <c r="G259" i="1"/>
  <c r="H259" i="1"/>
  <c r="I259" i="1"/>
  <c r="G260" i="1"/>
  <c r="H260" i="1"/>
  <c r="I260" i="1"/>
  <c r="G261" i="1"/>
  <c r="H261" i="1"/>
  <c r="I261" i="1"/>
  <c r="G240" i="1"/>
  <c r="H240" i="1"/>
  <c r="I240" i="1"/>
  <c r="G241" i="1"/>
  <c r="H241" i="1"/>
  <c r="I241" i="1"/>
  <c r="G490" i="1"/>
  <c r="H490" i="1"/>
  <c r="I490" i="1"/>
  <c r="E477" i="1"/>
  <c r="E478" i="1"/>
  <c r="E310" i="1"/>
  <c r="F428" i="1"/>
  <c r="G428" i="1"/>
  <c r="F243" i="1"/>
  <c r="G243" i="1"/>
  <c r="H243" i="1"/>
  <c r="I243" i="1"/>
  <c r="F239" i="1"/>
  <c r="G239" i="1"/>
  <c r="H239" i="1"/>
  <c r="I239" i="1"/>
  <c r="F238" i="1"/>
  <c r="G238" i="1"/>
  <c r="C199" i="1"/>
  <c r="C208" i="1"/>
  <c r="E208" i="1"/>
  <c r="F165" i="1"/>
  <c r="G165" i="1"/>
  <c r="H165" i="1"/>
  <c r="I165" i="1"/>
  <c r="F163" i="1"/>
  <c r="G163" i="1"/>
  <c r="H163" i="1"/>
  <c r="I163" i="1"/>
  <c r="F422" i="1"/>
  <c r="G422" i="1"/>
  <c r="H422" i="1"/>
  <c r="I422" i="1"/>
  <c r="F425" i="1"/>
  <c r="G425" i="1"/>
  <c r="F426" i="1"/>
  <c r="G426" i="1"/>
  <c r="H426" i="1"/>
  <c r="I426" i="1"/>
  <c r="D423" i="1"/>
  <c r="F423" i="1"/>
  <c r="G423" i="1"/>
  <c r="H423" i="1"/>
  <c r="I423" i="1"/>
  <c r="F420" i="1"/>
  <c r="G420" i="1"/>
  <c r="H420" i="1"/>
  <c r="I420" i="1"/>
  <c r="F418" i="1"/>
  <c r="G418" i="1"/>
  <c r="H418" i="1"/>
  <c r="I418" i="1"/>
  <c r="G95" i="1"/>
  <c r="H95" i="1"/>
  <c r="I95" i="1"/>
  <c r="G93" i="1"/>
  <c r="H93" i="1"/>
  <c r="I93" i="1"/>
  <c r="F69" i="1"/>
  <c r="G69" i="1"/>
  <c r="H69" i="1"/>
  <c r="I69" i="1"/>
  <c r="F75" i="1"/>
  <c r="G75" i="1"/>
  <c r="H75" i="1"/>
  <c r="I75" i="1"/>
  <c r="F74" i="1"/>
  <c r="G74" i="1"/>
  <c r="H74" i="1"/>
  <c r="I74" i="1"/>
  <c r="F73" i="1"/>
  <c r="G73" i="1"/>
  <c r="H73" i="1"/>
  <c r="I73" i="1"/>
  <c r="F72" i="1"/>
  <c r="G72" i="1"/>
  <c r="H72" i="1"/>
  <c r="I72" i="1"/>
  <c r="F65" i="1"/>
  <c r="G65" i="1"/>
  <c r="H65" i="1"/>
  <c r="I65" i="1"/>
  <c r="F64" i="1"/>
  <c r="G64" i="1"/>
  <c r="H64" i="1"/>
  <c r="I64" i="1"/>
  <c r="F63" i="1"/>
  <c r="F62" i="1"/>
  <c r="G62" i="1"/>
  <c r="H62" i="1"/>
  <c r="I62" i="1"/>
  <c r="F78" i="1"/>
  <c r="G78" i="1"/>
  <c r="H78" i="1"/>
  <c r="I78" i="1"/>
  <c r="F68" i="1"/>
  <c r="G68" i="1"/>
  <c r="H68" i="1"/>
  <c r="I68" i="1"/>
  <c r="G226" i="1"/>
  <c r="H226" i="1"/>
  <c r="I226" i="1"/>
  <c r="G227" i="1"/>
  <c r="H227" i="1"/>
  <c r="I227" i="1"/>
  <c r="G228" i="1"/>
  <c r="H228" i="1"/>
  <c r="I228" i="1"/>
  <c r="G229" i="1"/>
  <c r="H229" i="1"/>
  <c r="I229" i="1"/>
  <c r="G230" i="1"/>
  <c r="H230" i="1"/>
  <c r="I230" i="1"/>
  <c r="G231" i="1"/>
  <c r="H231" i="1"/>
  <c r="I231" i="1"/>
  <c r="G232" i="1"/>
  <c r="H232" i="1"/>
  <c r="I232" i="1"/>
  <c r="G233" i="1"/>
  <c r="H233" i="1"/>
  <c r="I233" i="1"/>
  <c r="G234" i="1"/>
  <c r="H234" i="1"/>
  <c r="I234" i="1"/>
  <c r="G235" i="1"/>
  <c r="H235" i="1"/>
  <c r="I235" i="1"/>
  <c r="G236" i="1"/>
  <c r="H236" i="1"/>
  <c r="I236" i="1"/>
  <c r="G223" i="1"/>
  <c r="H223" i="1"/>
  <c r="I223" i="1"/>
  <c r="E209" i="1"/>
  <c r="G212" i="1"/>
  <c r="H212" i="1"/>
  <c r="I212" i="1"/>
  <c r="G213" i="1"/>
  <c r="H213" i="1"/>
  <c r="I213" i="1"/>
  <c r="G214" i="1"/>
  <c r="H214" i="1"/>
  <c r="I214" i="1"/>
  <c r="G215" i="1"/>
  <c r="H215" i="1"/>
  <c r="I215" i="1"/>
  <c r="G216" i="1"/>
  <c r="H216" i="1"/>
  <c r="I216" i="1"/>
  <c r="G217" i="1"/>
  <c r="H217" i="1"/>
  <c r="I217" i="1"/>
  <c r="G218" i="1"/>
  <c r="H218" i="1"/>
  <c r="I218" i="1"/>
  <c r="G219" i="1"/>
  <c r="H219" i="1"/>
  <c r="I219" i="1"/>
  <c r="G220" i="1"/>
  <c r="H220" i="1"/>
  <c r="I220" i="1"/>
  <c r="G221" i="1"/>
  <c r="H221" i="1"/>
  <c r="I221" i="1"/>
  <c r="G209" i="1"/>
  <c r="F211" i="1"/>
  <c r="G211" i="1"/>
  <c r="H211" i="1"/>
  <c r="I211" i="1"/>
  <c r="F210" i="1"/>
  <c r="G210" i="1"/>
  <c r="F225" i="1"/>
  <c r="G225" i="1"/>
  <c r="H225" i="1"/>
  <c r="I225" i="1"/>
  <c r="F224" i="1"/>
  <c r="G224" i="1"/>
  <c r="H224" i="1"/>
  <c r="I224" i="1"/>
  <c r="G489" i="1"/>
  <c r="H489" i="1"/>
  <c r="I489" i="1"/>
  <c r="E475" i="1"/>
  <c r="E476" i="1"/>
  <c r="G474" i="1"/>
  <c r="H474" i="1"/>
  <c r="I474" i="1"/>
  <c r="G464" i="1"/>
  <c r="H464" i="1"/>
  <c r="I464" i="1"/>
  <c r="H467" i="1"/>
  <c r="I467" i="1"/>
  <c r="H466" i="1"/>
  <c r="I466" i="1"/>
  <c r="H465" i="1"/>
  <c r="I465" i="1"/>
  <c r="D456" i="1"/>
  <c r="E456" i="1"/>
  <c r="C456" i="1"/>
  <c r="D448" i="1"/>
  <c r="E441" i="1"/>
  <c r="E442" i="1"/>
  <c r="E440" i="1"/>
  <c r="G125" i="1"/>
  <c r="H125" i="1"/>
  <c r="I125" i="1"/>
  <c r="G124" i="1"/>
  <c r="H124" i="1"/>
  <c r="I124" i="1"/>
  <c r="G63" i="1"/>
  <c r="H63" i="1"/>
  <c r="I63" i="1"/>
  <c r="G66" i="1"/>
  <c r="H66" i="1"/>
  <c r="I66" i="1"/>
  <c r="G67" i="1"/>
  <c r="H67" i="1"/>
  <c r="I67" i="1"/>
  <c r="G71" i="1"/>
  <c r="H71" i="1"/>
  <c r="I71" i="1"/>
  <c r="G76" i="1"/>
  <c r="H76" i="1"/>
  <c r="I76" i="1"/>
  <c r="G77" i="1"/>
  <c r="H77" i="1"/>
  <c r="I77" i="1"/>
  <c r="G61" i="1"/>
  <c r="H61" i="1"/>
  <c r="I61" i="1"/>
  <c r="G48" i="1"/>
  <c r="H48" i="1"/>
  <c r="I48" i="1"/>
  <c r="G49" i="1"/>
  <c r="H49" i="1"/>
  <c r="I49" i="1"/>
  <c r="G50" i="1"/>
  <c r="H50" i="1"/>
  <c r="I50" i="1"/>
  <c r="G51" i="1"/>
  <c r="H51" i="1"/>
  <c r="I51" i="1"/>
  <c r="G52" i="1"/>
  <c r="H52" i="1"/>
  <c r="I52" i="1"/>
  <c r="G53" i="1"/>
  <c r="H53" i="1"/>
  <c r="I53" i="1"/>
  <c r="G54" i="1"/>
  <c r="G55" i="1"/>
  <c r="H55" i="1"/>
  <c r="I55" i="1"/>
  <c r="G56" i="1"/>
  <c r="H56" i="1"/>
  <c r="I56" i="1"/>
  <c r="G57" i="1"/>
  <c r="H57" i="1"/>
  <c r="I57" i="1"/>
  <c r="G58" i="1"/>
  <c r="H58" i="1"/>
  <c r="I58" i="1"/>
  <c r="G59" i="1"/>
  <c r="H59" i="1"/>
  <c r="I59" i="1"/>
  <c r="G47" i="1"/>
  <c r="H47" i="1"/>
  <c r="I47" i="1"/>
  <c r="G38" i="1"/>
  <c r="H38" i="1"/>
  <c r="I38" i="1"/>
  <c r="G39" i="1"/>
  <c r="H39" i="1"/>
  <c r="I39" i="1"/>
  <c r="G40" i="1"/>
  <c r="H40" i="1"/>
  <c r="I40" i="1"/>
  <c r="G41" i="1"/>
  <c r="H41" i="1"/>
  <c r="I41" i="1"/>
  <c r="G42" i="1"/>
  <c r="H42" i="1"/>
  <c r="I42" i="1"/>
  <c r="G43" i="1"/>
  <c r="H43" i="1"/>
  <c r="I43" i="1"/>
  <c r="G44" i="1"/>
  <c r="H44" i="1"/>
  <c r="I44" i="1"/>
  <c r="G45" i="1"/>
  <c r="H45" i="1"/>
  <c r="I45" i="1"/>
  <c r="G37" i="1"/>
  <c r="H37" i="1"/>
  <c r="I37" i="1"/>
  <c r="G13" i="1"/>
  <c r="H13" i="1"/>
  <c r="I13" i="1"/>
  <c r="G14" i="1"/>
  <c r="H14" i="1"/>
  <c r="I14" i="1"/>
  <c r="G15" i="1"/>
  <c r="H15" i="1"/>
  <c r="I15" i="1"/>
  <c r="G16" i="1"/>
  <c r="H16" i="1"/>
  <c r="I16" i="1"/>
  <c r="G12" i="1"/>
  <c r="H12" i="1"/>
  <c r="I12" i="1"/>
  <c r="G11" i="1"/>
  <c r="H11" i="1"/>
  <c r="I11" i="1"/>
  <c r="G10" i="1"/>
  <c r="H10" i="1"/>
  <c r="I10" i="1"/>
  <c r="G9" i="1"/>
  <c r="H9" i="1"/>
  <c r="I9" i="1"/>
  <c r="G8" i="1"/>
  <c r="H8" i="1"/>
  <c r="I8" i="1"/>
  <c r="G7" i="1"/>
  <c r="H7" i="1"/>
  <c r="I7" i="1"/>
  <c r="G6" i="1"/>
  <c r="H6" i="1"/>
  <c r="I6" i="1"/>
  <c r="G5" i="1"/>
  <c r="H5" i="1"/>
  <c r="I5" i="1"/>
  <c r="G4" i="1"/>
  <c r="H4" i="1"/>
  <c r="I4" i="1"/>
  <c r="G3" i="1"/>
  <c r="H3" i="1"/>
  <c r="I3" i="1"/>
  <c r="G18" i="1"/>
  <c r="H18" i="1"/>
  <c r="G19" i="1"/>
  <c r="H19" i="1"/>
  <c r="I19" i="1"/>
  <c r="G20" i="1"/>
  <c r="H20" i="1"/>
  <c r="I20" i="1"/>
  <c r="G21" i="1"/>
  <c r="H21" i="1"/>
  <c r="I21" i="1"/>
  <c r="G22" i="1"/>
  <c r="H22" i="1"/>
  <c r="I22" i="1"/>
  <c r="G23" i="1"/>
  <c r="H23" i="1"/>
  <c r="I23" i="1"/>
  <c r="G24" i="1"/>
  <c r="H24" i="1"/>
  <c r="I24" i="1"/>
  <c r="G25" i="1"/>
  <c r="H25" i="1"/>
  <c r="I25" i="1"/>
  <c r="G26" i="1"/>
  <c r="H26" i="1"/>
  <c r="I26" i="1"/>
  <c r="G27" i="1"/>
  <c r="H27" i="1"/>
  <c r="I27" i="1"/>
  <c r="G28" i="1"/>
  <c r="H28" i="1"/>
  <c r="I28" i="1"/>
  <c r="G29" i="1"/>
  <c r="H29" i="1"/>
  <c r="I29" i="1"/>
  <c r="G30" i="1"/>
  <c r="H30" i="1"/>
  <c r="I30" i="1"/>
  <c r="G31" i="1"/>
  <c r="H31" i="1"/>
  <c r="I31" i="1"/>
  <c r="G32" i="1"/>
  <c r="H32" i="1"/>
  <c r="I32" i="1"/>
  <c r="G33" i="1"/>
  <c r="H33" i="1"/>
  <c r="I33" i="1"/>
  <c r="G34" i="1"/>
  <c r="H34" i="1"/>
  <c r="I34" i="1"/>
  <c r="G35" i="1"/>
  <c r="H35" i="1"/>
  <c r="I35" i="1"/>
  <c r="O17" i="1"/>
  <c r="O15" i="1"/>
  <c r="O9" i="1"/>
  <c r="H262" i="1"/>
  <c r="I262" i="1"/>
  <c r="H279" i="1"/>
  <c r="I279" i="1"/>
  <c r="G417" i="1"/>
  <c r="H417" i="1"/>
  <c r="I417" i="1"/>
  <c r="H409" i="1"/>
  <c r="I409" i="1"/>
  <c r="H246" i="1"/>
  <c r="I246" i="1"/>
  <c r="H319" i="1"/>
  <c r="I319" i="1"/>
  <c r="G459" i="1"/>
  <c r="H459" i="1"/>
  <c r="I459" i="1"/>
  <c r="H436" i="1"/>
  <c r="I436" i="1"/>
  <c r="H391" i="1"/>
  <c r="I391" i="1"/>
  <c r="H396" i="1"/>
  <c r="I396" i="1"/>
  <c r="G385" i="1"/>
  <c r="H382" i="1"/>
  <c r="I382" i="1"/>
  <c r="H368" i="1"/>
  <c r="I368" i="1"/>
  <c r="H340" i="1"/>
  <c r="I340" i="1"/>
  <c r="H353" i="1"/>
  <c r="I353" i="1"/>
  <c r="H431" i="1"/>
  <c r="I431" i="1"/>
  <c r="G324" i="1"/>
  <c r="H324" i="1"/>
  <c r="I324" i="1"/>
  <c r="H310" i="1"/>
  <c r="I310" i="1"/>
  <c r="H315" i="1"/>
  <c r="I315" i="1"/>
  <c r="H433" i="1"/>
  <c r="I433" i="1"/>
  <c r="H132" i="1"/>
  <c r="I132" i="1"/>
  <c r="H434" i="1"/>
  <c r="I434" i="1"/>
  <c r="H130" i="1"/>
  <c r="I130" i="1"/>
  <c r="H138" i="1"/>
  <c r="I138" i="1"/>
  <c r="H494" i="1"/>
  <c r="I494" i="1"/>
  <c r="G463" i="1"/>
  <c r="H463" i="1"/>
  <c r="I463" i="1"/>
  <c r="G483" i="1"/>
  <c r="H483" i="1"/>
  <c r="I483" i="1"/>
  <c r="H441" i="1"/>
  <c r="I441" i="1"/>
  <c r="H188" i="1"/>
  <c r="I188" i="1"/>
  <c r="H162" i="1"/>
  <c r="I162" i="1"/>
  <c r="H143" i="1"/>
  <c r="I143" i="1"/>
  <c r="H114" i="1"/>
  <c r="I114" i="1"/>
  <c r="H154" i="1"/>
  <c r="I154" i="1"/>
  <c r="G92" i="1"/>
  <c r="H92" i="1"/>
  <c r="I92" i="1"/>
  <c r="H146" i="1"/>
  <c r="I146" i="1"/>
  <c r="H104" i="1"/>
  <c r="I104" i="1"/>
  <c r="H476" i="1"/>
  <c r="I476" i="1"/>
  <c r="H440" i="1"/>
  <c r="I440" i="1"/>
  <c r="H462" i="1"/>
  <c r="I462" i="1"/>
  <c r="G473" i="1"/>
  <c r="H473" i="1"/>
  <c r="I473" i="1"/>
  <c r="G485" i="1"/>
  <c r="H485" i="1"/>
  <c r="I485" i="1"/>
  <c r="H178" i="1"/>
  <c r="I178" i="1"/>
  <c r="H155" i="1"/>
  <c r="I155" i="1"/>
  <c r="H135" i="1"/>
  <c r="I135" i="1"/>
  <c r="H470" i="1"/>
  <c r="I470" i="1"/>
  <c r="H475" i="1"/>
  <c r="I475" i="1"/>
  <c r="G493" i="1"/>
  <c r="H493" i="1"/>
  <c r="I493" i="1"/>
  <c r="G488" i="1"/>
  <c r="H488" i="1"/>
  <c r="I488" i="1"/>
  <c r="G495" i="1"/>
  <c r="H495" i="1"/>
  <c r="I495" i="1"/>
  <c r="H166" i="1"/>
  <c r="I166" i="1"/>
  <c r="H127" i="1"/>
  <c r="I127" i="1"/>
  <c r="H137" i="1"/>
  <c r="I137" i="1"/>
  <c r="G123" i="1"/>
  <c r="H123" i="1"/>
  <c r="I123" i="1"/>
  <c r="H86" i="1"/>
  <c r="I86" i="1"/>
  <c r="H477" i="1"/>
  <c r="I477" i="1"/>
  <c r="H479" i="1"/>
  <c r="I479" i="1"/>
  <c r="H208" i="1"/>
  <c r="I208" i="1"/>
  <c r="H199" i="1"/>
  <c r="I199" i="1"/>
  <c r="H177" i="1"/>
  <c r="I177" i="1"/>
  <c r="H164" i="1"/>
  <c r="I164" i="1"/>
  <c r="H129" i="1"/>
  <c r="I129" i="1"/>
  <c r="H100" i="1"/>
  <c r="I100" i="1"/>
  <c r="H478" i="1"/>
  <c r="I478" i="1"/>
  <c r="G456" i="1"/>
  <c r="H456" i="1"/>
  <c r="I456" i="1"/>
  <c r="H438" i="1"/>
  <c r="I438" i="1"/>
  <c r="H442" i="1"/>
  <c r="I442" i="1"/>
  <c r="H429" i="1"/>
  <c r="I429" i="1"/>
  <c r="H428" i="1"/>
  <c r="I428" i="1"/>
  <c r="H425" i="1"/>
  <c r="I425" i="1"/>
  <c r="H427" i="1"/>
  <c r="I427" i="1"/>
  <c r="H238" i="1"/>
  <c r="I238" i="1"/>
  <c r="H242" i="1"/>
  <c r="I242" i="1"/>
  <c r="G421" i="1"/>
  <c r="H421" i="1"/>
  <c r="I421" i="1"/>
  <c r="H94" i="1"/>
  <c r="I94" i="1"/>
  <c r="H96" i="1"/>
  <c r="I96" i="1"/>
  <c r="H79" i="1"/>
  <c r="I79" i="1"/>
  <c r="H70" i="1"/>
  <c r="I70" i="1"/>
  <c r="H222" i="1"/>
  <c r="I222" i="1"/>
  <c r="H237" i="1"/>
  <c r="I237" i="1"/>
  <c r="H209" i="1"/>
  <c r="I209" i="1"/>
  <c r="H210" i="1"/>
  <c r="I210" i="1"/>
  <c r="E448" i="1"/>
  <c r="H60" i="1"/>
  <c r="I60" i="1"/>
  <c r="H46" i="1"/>
  <c r="I46" i="1"/>
  <c r="H54" i="1"/>
  <c r="I54" i="1"/>
  <c r="I18" i="1"/>
  <c r="H36" i="1"/>
  <c r="H17" i="1"/>
  <c r="I17" i="1"/>
  <c r="H314" i="1"/>
  <c r="I314" i="1"/>
  <c r="O21" i="1"/>
  <c r="O25" i="1"/>
  <c r="O29" i="1"/>
  <c r="H385" i="1"/>
  <c r="I385" i="1"/>
  <c r="O20" i="1"/>
  <c r="O24" i="1"/>
  <c r="O28" i="1"/>
  <c r="H424" i="1"/>
  <c r="I424" i="1"/>
  <c r="N20" i="1"/>
  <c r="N24" i="1"/>
  <c r="N28" i="1"/>
  <c r="O10" i="1"/>
  <c r="O19" i="1"/>
  <c r="O23" i="1"/>
  <c r="O27" i="1"/>
  <c r="N9" i="1"/>
  <c r="N17" i="1"/>
  <c r="H298" i="1"/>
  <c r="I298" i="1"/>
  <c r="N21" i="1"/>
  <c r="N19" i="1"/>
  <c r="N23" i="1"/>
  <c r="N27" i="1"/>
  <c r="N10" i="1"/>
  <c r="H448" i="1"/>
  <c r="I448" i="1"/>
  <c r="I36" i="1"/>
  <c r="N25" i="1"/>
  <c r="N29" i="1"/>
  <c r="O11" i="1" l="1"/>
  <c r="N11" i="1"/>
  <c r="O4" i="1"/>
  <c r="O12" i="1"/>
  <c r="O5" i="1" s="1"/>
  <c r="N4" i="1"/>
  <c r="N12" i="1"/>
  <c r="N5" i="1" s="1"/>
</calcChain>
</file>

<file path=xl/sharedStrings.xml><?xml version="1.0" encoding="utf-8"?>
<sst xmlns="http://schemas.openxmlformats.org/spreadsheetml/2006/main" count="3473" uniqueCount="442">
  <si>
    <t>아산진내과의원</t>
  </si>
  <si>
    <t>SOL-CART B -KR- SOD.BIC.-CARTR. 650GR [650G]</t>
  </si>
  <si>
    <t>DIACAP PRO HIPS 16 PS-DIALYSER, (R), AP [1.6H]</t>
  </si>
  <si>
    <t>BAIN TUBING SETS FOR HD</t>
  </si>
  <si>
    <t>XEVONTA DIALYZER HI 15, GAMMA [HI 15]</t>
  </si>
  <si>
    <t>XEVONTA DIALYZER HI 18, GAMMA [HI 18]</t>
  </si>
  <si>
    <t>DIACAP ULTRA DF-ONLINE FILTER AP</t>
  </si>
  <si>
    <t>ABPM CUFF, MEDIUM, LATEXFR.+AIR HOSE</t>
  </si>
  <si>
    <t>2026/02  계</t>
  </si>
  <si>
    <t>2026/01  계</t>
  </si>
  <si>
    <t>DIACAP PRO HIPS 19 PS-DIALYSER, (R), AP [1.9H]</t>
  </si>
  <si>
    <t>AVF NEEDLE 15G [15G]</t>
  </si>
  <si>
    <t>AVF NEEDLE 16G [16G]</t>
  </si>
  <si>
    <t>XEVONTA DIALYZER HI 20, GAMMA [HI 20]</t>
  </si>
  <si>
    <t>Filtryzer BG-1.8U</t>
  </si>
  <si>
    <t>Weigao Dialog HD Bloodline-3TPwD [20PC]</t>
  </si>
  <si>
    <t>ARTSET HD DNL HC</t>
  </si>
  <si>
    <t>POLYFLUX 140H APAC</t>
  </si>
  <si>
    <t>POLYFLUX 170H APAC</t>
  </si>
  <si>
    <t>U9000 PLUS KR</t>
  </si>
  <si>
    <t>THERANOVA 400 APAC</t>
  </si>
  <si>
    <t>캐논코리아(주)</t>
  </si>
  <si>
    <t>지엘루비콘(주)</t>
  </si>
  <si>
    <t>BL Dialog DEHT 8x12, 3 TP, DR.BAG PO [HD]</t>
  </si>
  <si>
    <t>Elisio-19H [1.9]</t>
  </si>
  <si>
    <t>분당서울대학교병원</t>
  </si>
  <si>
    <t>(주)기영약품</t>
  </si>
  <si>
    <t>남양약품(주)</t>
  </si>
  <si>
    <t>DIACAP PRO HIPS 13 PS-DIALYSER, (R), AP [1.3H]</t>
  </si>
  <si>
    <t>BL Dialog DEHT 8x12,3 TP, DR.BAG PO [HDF]</t>
  </si>
  <si>
    <t>아주대학교요양병원</t>
  </si>
  <si>
    <t>서울대학교병원</t>
  </si>
  <si>
    <t>삼성서울병원</t>
  </si>
  <si>
    <t>강릉아산병원</t>
  </si>
  <si>
    <t>HYDROLINK NV-15U [High 15]</t>
  </si>
  <si>
    <t>Filtryzer BG-1.6U</t>
  </si>
  <si>
    <t>5M Filter 10 inch(New)</t>
  </si>
  <si>
    <t>서울특별시 보라매병원</t>
  </si>
  <si>
    <t>맑은담 내과의원</t>
  </si>
  <si>
    <t>나리약국</t>
  </si>
  <si>
    <t>BT-102XA [Tubing set] [Blood Line]</t>
  </si>
  <si>
    <t>HYDROLINK NV-13U [24ea/BOX]</t>
  </si>
  <si>
    <t>HYDROLINK NV-15U [24ea/BOX]</t>
  </si>
  <si>
    <t>서현의료재단</t>
  </si>
  <si>
    <t>SOL-CART B -KR- SOD.BIC.-CARTR. 650GR</t>
  </si>
  <si>
    <t>AVF NEEDLE 15G</t>
  </si>
  <si>
    <t>AVF NEEDLE 16G</t>
  </si>
  <si>
    <t>DIACAP PRO HIPS 13 PS-DIALYSER, (R), AP</t>
  </si>
  <si>
    <t>DIACAP PRO HIPS 16 PS-DIALYSER, (R), AP</t>
  </si>
  <si>
    <t>DIACAP PRO HIPS 19 PS-DIALYSER, (R), AP</t>
  </si>
  <si>
    <t>Weigao Dialog HD Bloodline-3TPwD</t>
  </si>
  <si>
    <r>
      <t>1</t>
    </r>
    <r>
      <rPr>
        <sz val="10"/>
        <rFont val="맑은 고딕"/>
        <family val="2"/>
        <charset val="129"/>
      </rPr>
      <t>월</t>
    </r>
    <phoneticPr fontId="7" type="noConversion"/>
  </si>
  <si>
    <t>AVF NEEDLE 17G [17G]</t>
  </si>
  <si>
    <t>ELISIO-13H</t>
  </si>
  <si>
    <t>Elisio-21H [2.1]</t>
  </si>
  <si>
    <t>서울원내과</t>
  </si>
  <si>
    <t>서울박내과</t>
  </si>
  <si>
    <t>이한규내과</t>
  </si>
  <si>
    <t>DIACAP PRO LOPS 16 PS-DIALYSER, (R), AP [16L]</t>
  </si>
  <si>
    <t>XEVONTA DIALYZER HI 23, GAMMA [HI 23]</t>
  </si>
  <si>
    <t>multiFiltratePRO Kit HDF 600</t>
  </si>
  <si>
    <t>Multifiltrate Pro</t>
  </si>
  <si>
    <t>엘병원</t>
  </si>
  <si>
    <r>
      <t>2</t>
    </r>
    <r>
      <rPr>
        <sz val="10"/>
        <rFont val="맑은 고딕"/>
        <family val="2"/>
        <charset val="129"/>
      </rPr>
      <t>월</t>
    </r>
    <phoneticPr fontId="7" type="noConversion"/>
  </si>
  <si>
    <t>연세윤내과</t>
  </si>
  <si>
    <t>연세준내과</t>
  </si>
  <si>
    <t>연세정성내과의원</t>
  </si>
  <si>
    <t>위더스요양병원</t>
  </si>
  <si>
    <t>청아한방병원</t>
  </si>
  <si>
    <t>(주)오륜메디칼</t>
  </si>
  <si>
    <t>광림약품(주)</t>
  </si>
  <si>
    <t>인천유니온약품</t>
  </si>
  <si>
    <t>주식회사 에스앤비팜</t>
  </si>
  <si>
    <t>유한회사 노바헬스테크</t>
  </si>
  <si>
    <t>Elisio-15H [1.5]</t>
  </si>
  <si>
    <t>Elisio-17H [1.7]</t>
  </si>
  <si>
    <t>A.V FISTULA NEEDLE 15G [500EA/BOX]</t>
  </si>
  <si>
    <t>A.V FISTULA NEEDLE 16G</t>
  </si>
  <si>
    <t>강남베드로병원</t>
  </si>
  <si>
    <t>(주)수창</t>
  </si>
  <si>
    <t>(주)우리약품</t>
  </si>
  <si>
    <t>Elisio-21H [2.1]</t>
    <phoneticPr fontId="7" type="noConversion"/>
  </si>
  <si>
    <t>Elisio-15H [24EA/BOX] [1.5]</t>
  </si>
  <si>
    <t>Elisio-17H [24EA/BOX] [1.7]</t>
  </si>
  <si>
    <t>연세 수 요양병원</t>
  </si>
  <si>
    <t>트리메디칼 주식회사</t>
  </si>
  <si>
    <t>프라이즈피부과의원</t>
  </si>
  <si>
    <r>
      <rPr>
        <b/>
        <sz val="10"/>
        <rFont val="Dotum"/>
      </rPr>
      <t>월</t>
    </r>
    <phoneticPr fontId="7" type="noConversion"/>
  </si>
  <si>
    <r>
      <rPr>
        <b/>
        <sz val="10"/>
        <rFont val="Dotum"/>
      </rPr>
      <t>품목명</t>
    </r>
    <r>
      <rPr>
        <b/>
        <sz val="10"/>
        <rFont val="Arial"/>
        <family val="2"/>
      </rPr>
      <t>(</t>
    </r>
    <r>
      <rPr>
        <b/>
        <sz val="10"/>
        <rFont val="Dotum"/>
      </rPr>
      <t>규격</t>
    </r>
    <r>
      <rPr>
        <b/>
        <sz val="10"/>
        <rFont val="Arial"/>
        <family val="2"/>
      </rPr>
      <t>)</t>
    </r>
  </si>
  <si>
    <r>
      <rPr>
        <b/>
        <sz val="10"/>
        <rFont val="Dotum"/>
      </rPr>
      <t>수량</t>
    </r>
  </si>
  <si>
    <r>
      <rPr>
        <b/>
        <sz val="10"/>
        <rFont val="Dotum"/>
      </rPr>
      <t>매출</t>
    </r>
    <r>
      <rPr>
        <b/>
        <sz val="10"/>
        <rFont val="Arial"/>
        <family val="2"/>
      </rPr>
      <t xml:space="preserve"> </t>
    </r>
    <r>
      <rPr>
        <b/>
        <sz val="10"/>
        <rFont val="Dotum"/>
      </rPr>
      <t>단가</t>
    </r>
    <phoneticPr fontId="7" type="noConversion"/>
  </si>
  <si>
    <r>
      <rPr>
        <b/>
        <sz val="10"/>
        <rFont val="Dotum"/>
      </rPr>
      <t>매출가</t>
    </r>
    <phoneticPr fontId="7" type="noConversion"/>
  </si>
  <si>
    <r>
      <rPr>
        <b/>
        <sz val="10"/>
        <rFont val="Dotum"/>
      </rPr>
      <t>매입</t>
    </r>
    <r>
      <rPr>
        <b/>
        <sz val="10"/>
        <rFont val="Arial"/>
        <family val="2"/>
      </rPr>
      <t xml:space="preserve"> </t>
    </r>
    <r>
      <rPr>
        <b/>
        <sz val="10"/>
        <rFont val="Dotum"/>
      </rPr>
      <t>단가</t>
    </r>
    <phoneticPr fontId="7" type="noConversion"/>
  </si>
  <si>
    <r>
      <rPr>
        <b/>
        <sz val="10"/>
        <rFont val="Dotum"/>
      </rPr>
      <t>매입가</t>
    </r>
    <phoneticPr fontId="7" type="noConversion"/>
  </si>
  <si>
    <r>
      <rPr>
        <b/>
        <sz val="10"/>
        <rFont val="Dotum"/>
      </rPr>
      <t>매출</t>
    </r>
    <r>
      <rPr>
        <b/>
        <sz val="10"/>
        <rFont val="Arial"/>
        <family val="2"/>
      </rPr>
      <t xml:space="preserve"> </t>
    </r>
    <r>
      <rPr>
        <b/>
        <sz val="10"/>
        <rFont val="Dotum"/>
      </rPr>
      <t>이익</t>
    </r>
    <phoneticPr fontId="7" type="noConversion"/>
  </si>
  <si>
    <r>
      <rPr>
        <b/>
        <sz val="10"/>
        <rFont val="Dotum"/>
      </rPr>
      <t>매출</t>
    </r>
    <r>
      <rPr>
        <b/>
        <sz val="10"/>
        <rFont val="Arial"/>
        <family val="2"/>
      </rPr>
      <t xml:space="preserve"> </t>
    </r>
    <r>
      <rPr>
        <b/>
        <sz val="10"/>
        <rFont val="Dotum"/>
      </rPr>
      <t>이익률</t>
    </r>
    <phoneticPr fontId="7" type="noConversion"/>
  </si>
  <si>
    <r>
      <rPr>
        <b/>
        <sz val="10"/>
        <rFont val="Dotum"/>
      </rPr>
      <t>거래처명</t>
    </r>
  </si>
  <si>
    <r>
      <t>1</t>
    </r>
    <r>
      <rPr>
        <sz val="10"/>
        <rFont val="Dotum"/>
      </rPr>
      <t>월</t>
    </r>
    <phoneticPr fontId="7" type="noConversion"/>
  </si>
  <si>
    <r>
      <t>R/O</t>
    </r>
    <r>
      <rPr>
        <sz val="10"/>
        <rFont val="Dotum"/>
      </rPr>
      <t>유지보수비</t>
    </r>
  </si>
  <si>
    <r>
      <rPr>
        <sz val="10"/>
        <rFont val="Dotum"/>
      </rPr>
      <t>아산진내과의원</t>
    </r>
  </si>
  <si>
    <r>
      <rPr>
        <sz val="10"/>
        <rFont val="Dotum"/>
      </rPr>
      <t>네스벨프리필드시린지주</t>
    </r>
    <r>
      <rPr>
        <sz val="10"/>
        <rFont val="Arial"/>
        <family val="2"/>
      </rPr>
      <t>30μg/0.5mL [30μg/0.5mL]</t>
    </r>
  </si>
  <si>
    <r>
      <t>1</t>
    </r>
    <r>
      <rPr>
        <sz val="10"/>
        <rFont val="Dotum"/>
      </rPr>
      <t>월</t>
    </r>
  </si>
  <si>
    <r>
      <rPr>
        <sz val="10"/>
        <rFont val="Dotum"/>
      </rPr>
      <t>네스벨프리필드시린지주</t>
    </r>
    <r>
      <rPr>
        <sz val="10"/>
        <rFont val="Arial"/>
        <family val="2"/>
      </rPr>
      <t>40μg/0.5mL [40μg/0.5mL]</t>
    </r>
  </si>
  <si>
    <r>
      <rPr>
        <sz val="10"/>
        <rFont val="Dotum"/>
      </rPr>
      <t>네스벨프리필드시린지주</t>
    </r>
    <r>
      <rPr>
        <sz val="10"/>
        <rFont val="Arial"/>
        <family val="2"/>
      </rPr>
      <t>60μg/0.5mL [60μg/0.5mL]</t>
    </r>
  </si>
  <si>
    <r>
      <rPr>
        <sz val="10"/>
        <rFont val="Dotum"/>
      </rPr>
      <t>네스벨프리필드시린지주</t>
    </r>
    <r>
      <rPr>
        <sz val="10"/>
        <rFont val="Arial"/>
        <family val="2"/>
      </rPr>
      <t>0.12μg/0.5mL [0.12μg/0.5mL]</t>
    </r>
  </si>
  <si>
    <r>
      <rPr>
        <sz val="10"/>
        <rFont val="Dotum"/>
      </rPr>
      <t>트리캅</t>
    </r>
    <r>
      <rPr>
        <sz val="10"/>
        <rFont val="Arial"/>
        <family val="2"/>
      </rPr>
      <t xml:space="preserve"> C-50 [C-50]</t>
    </r>
  </si>
  <si>
    <r>
      <rPr>
        <sz val="10"/>
        <rFont val="Dotum"/>
      </rPr>
      <t>디에취덱스액</t>
    </r>
    <r>
      <rPr>
        <sz val="10"/>
        <rFont val="Arial"/>
        <family val="2"/>
      </rPr>
      <t xml:space="preserve"> 0.1</t>
    </r>
    <r>
      <rPr>
        <sz val="10"/>
        <rFont val="Dotum"/>
      </rPr>
      <t>％</t>
    </r>
    <r>
      <rPr>
        <sz val="10"/>
        <rFont val="Arial"/>
        <family val="2"/>
      </rPr>
      <t xml:space="preserve"> [10L]</t>
    </r>
  </si>
  <si>
    <r>
      <rPr>
        <sz val="10"/>
        <rFont val="Dotum"/>
      </rPr>
      <t>디에취덱스액</t>
    </r>
    <r>
      <rPr>
        <sz val="10"/>
        <rFont val="Arial"/>
        <family val="2"/>
      </rPr>
      <t xml:space="preserve"> 0.15</t>
    </r>
    <r>
      <rPr>
        <sz val="10"/>
        <rFont val="Dotum"/>
      </rPr>
      <t>％</t>
    </r>
    <r>
      <rPr>
        <sz val="10"/>
        <rFont val="Arial"/>
        <family val="2"/>
      </rPr>
      <t xml:space="preserve"> 1</t>
    </r>
    <r>
      <rPr>
        <sz val="10"/>
        <rFont val="Dotum"/>
      </rPr>
      <t>호</t>
    </r>
    <r>
      <rPr>
        <sz val="10"/>
        <rFont val="Arial"/>
        <family val="2"/>
      </rPr>
      <t xml:space="preserve"> [10L]</t>
    </r>
  </si>
  <si>
    <r>
      <t xml:space="preserve">2026/01  </t>
    </r>
    <r>
      <rPr>
        <b/>
        <sz val="10"/>
        <color rgb="FFFF0000"/>
        <rFont val="Dotum"/>
      </rPr>
      <t>계</t>
    </r>
  </si>
  <si>
    <r>
      <rPr>
        <b/>
        <sz val="10"/>
        <color rgb="FFFF0000"/>
        <rFont val="Dotum"/>
      </rPr>
      <t>아산진내과의원</t>
    </r>
  </si>
  <si>
    <r>
      <t>2</t>
    </r>
    <r>
      <rPr>
        <sz val="10"/>
        <rFont val="Dotum"/>
      </rPr>
      <t>월</t>
    </r>
    <phoneticPr fontId="7" type="noConversion"/>
  </si>
  <si>
    <r>
      <t>2</t>
    </r>
    <r>
      <rPr>
        <sz val="10"/>
        <rFont val="Dotum"/>
      </rPr>
      <t>월</t>
    </r>
  </si>
  <si>
    <r>
      <rPr>
        <sz val="10"/>
        <rFont val="Dotum"/>
      </rPr>
      <t>에포시스</t>
    </r>
    <r>
      <rPr>
        <sz val="10"/>
        <rFont val="Arial"/>
        <family val="2"/>
      </rPr>
      <t>10000IU/1mL [10000IU/1mL]</t>
    </r>
  </si>
  <si>
    <r>
      <rPr>
        <sz val="10"/>
        <rFont val="Dotum"/>
      </rPr>
      <t>에포시스</t>
    </r>
    <r>
      <rPr>
        <sz val="10"/>
        <rFont val="Arial"/>
        <family val="2"/>
      </rPr>
      <t>6000IU/0.6mL [6000IU/0.6mL]</t>
    </r>
  </si>
  <si>
    <r>
      <rPr>
        <sz val="10"/>
        <rFont val="Dotum"/>
      </rPr>
      <t>에포시스</t>
    </r>
    <r>
      <rPr>
        <sz val="10"/>
        <rFont val="Arial"/>
        <family val="2"/>
      </rPr>
      <t>3000IU/0.3mL [3000IU/0.3mL]</t>
    </r>
  </si>
  <si>
    <r>
      <rPr>
        <sz val="10"/>
        <rFont val="Dotum"/>
      </rPr>
      <t>아산진내과의원</t>
    </r>
    <phoneticPr fontId="7" type="noConversion"/>
  </si>
  <si>
    <r>
      <t xml:space="preserve">2026/02  </t>
    </r>
    <r>
      <rPr>
        <b/>
        <sz val="10"/>
        <color rgb="FFFF0000"/>
        <rFont val="Dotum"/>
      </rPr>
      <t>계</t>
    </r>
  </si>
  <si>
    <r>
      <rPr>
        <b/>
        <sz val="10"/>
        <color rgb="FFFF0000"/>
        <rFont val="Dotum"/>
      </rPr>
      <t>아산진내과의원</t>
    </r>
    <phoneticPr fontId="7" type="noConversion"/>
  </si>
  <si>
    <r>
      <rPr>
        <sz val="10"/>
        <rFont val="Dotum"/>
      </rPr>
      <t>캐논코리아</t>
    </r>
    <r>
      <rPr>
        <sz val="10"/>
        <rFont val="Arial"/>
        <family val="2"/>
      </rPr>
      <t>(</t>
    </r>
    <r>
      <rPr>
        <sz val="10"/>
        <rFont val="Dotum"/>
      </rPr>
      <t>주</t>
    </r>
    <r>
      <rPr>
        <sz val="10"/>
        <rFont val="Arial"/>
        <family val="2"/>
      </rPr>
      <t>)</t>
    </r>
  </si>
  <si>
    <r>
      <rPr>
        <sz val="10"/>
        <rFont val="Dotum"/>
        <family val="3"/>
      </rPr>
      <t>트리캅</t>
    </r>
    <r>
      <rPr>
        <sz val="10"/>
        <rFont val="Arial"/>
        <family val="2"/>
      </rPr>
      <t xml:space="preserve"> C-50 [C-50]</t>
    </r>
  </si>
  <si>
    <r>
      <t xml:space="preserve">2026/01  </t>
    </r>
    <r>
      <rPr>
        <b/>
        <sz val="10"/>
        <color rgb="FFFF0000"/>
        <rFont val="Dotum"/>
        <family val="3"/>
      </rPr>
      <t>계</t>
    </r>
  </si>
  <si>
    <r>
      <rPr>
        <b/>
        <sz val="10"/>
        <color rgb="FFFF0000"/>
        <rFont val="Dotum"/>
      </rPr>
      <t>캐논코리아</t>
    </r>
    <r>
      <rPr>
        <b/>
        <sz val="10"/>
        <color rgb="FFFF0000"/>
        <rFont val="Arial"/>
        <family val="2"/>
      </rPr>
      <t>(</t>
    </r>
    <r>
      <rPr>
        <b/>
        <sz val="10"/>
        <color rgb="FFFF0000"/>
        <rFont val="Dotum"/>
      </rPr>
      <t>주</t>
    </r>
    <r>
      <rPr>
        <b/>
        <sz val="10"/>
        <color rgb="FFFF0000"/>
        <rFont val="Arial"/>
        <family val="2"/>
      </rPr>
      <t>)</t>
    </r>
  </si>
  <si>
    <r>
      <t xml:space="preserve">2026/02  </t>
    </r>
    <r>
      <rPr>
        <b/>
        <sz val="10"/>
        <color rgb="FFFF0000"/>
        <rFont val="Dotum"/>
        <family val="3"/>
      </rPr>
      <t>계</t>
    </r>
  </si>
  <si>
    <r>
      <rPr>
        <sz val="10"/>
        <rFont val="Dotum"/>
      </rPr>
      <t>지엘루비콘</t>
    </r>
    <r>
      <rPr>
        <sz val="10"/>
        <rFont val="Arial"/>
        <family val="2"/>
      </rPr>
      <t>(</t>
    </r>
    <r>
      <rPr>
        <sz val="10"/>
        <rFont val="Dotum"/>
      </rPr>
      <t>주</t>
    </r>
    <r>
      <rPr>
        <sz val="10"/>
        <rFont val="Arial"/>
        <family val="2"/>
      </rPr>
      <t>)</t>
    </r>
  </si>
  <si>
    <r>
      <rPr>
        <sz val="10"/>
        <rFont val="Dotum"/>
      </rPr>
      <t>네스벨프리필드시린지주</t>
    </r>
    <r>
      <rPr>
        <sz val="10"/>
        <rFont val="Arial"/>
        <family val="2"/>
      </rPr>
      <t>20μg/0.5mL [20μg/0.5mL]</t>
    </r>
  </si>
  <si>
    <r>
      <rPr>
        <sz val="10"/>
        <rFont val="Dotum"/>
      </rPr>
      <t>네스벨프리필드시린지주</t>
    </r>
    <r>
      <rPr>
        <sz val="10"/>
        <rFont val="Arial"/>
        <family val="2"/>
      </rPr>
      <t>120μg/0.5mL [120μg/0.5mL]</t>
    </r>
  </si>
  <si>
    <r>
      <rPr>
        <sz val="10"/>
        <rFont val="Dotum"/>
      </rPr>
      <t>에취디졸비씨지에이액</t>
    </r>
    <r>
      <rPr>
        <sz val="10"/>
        <rFont val="Arial"/>
        <family val="2"/>
      </rPr>
      <t>_(5.5L)</t>
    </r>
  </si>
  <si>
    <r>
      <rPr>
        <sz val="10"/>
        <rFont val="Dotum"/>
      </rPr>
      <t>헤모시스에이지엘액</t>
    </r>
    <r>
      <rPr>
        <sz val="10"/>
        <rFont val="Arial"/>
        <family val="2"/>
      </rPr>
      <t xml:space="preserve"> 5.5L [5.5L]</t>
    </r>
  </si>
  <si>
    <r>
      <rPr>
        <sz val="10"/>
        <rFont val="Dotum"/>
      </rPr>
      <t>세머원정</t>
    </r>
    <r>
      <rPr>
        <sz val="10"/>
        <rFont val="Arial"/>
        <family val="2"/>
      </rPr>
      <t xml:space="preserve"> 180T</t>
    </r>
  </si>
  <si>
    <r>
      <rPr>
        <sz val="10"/>
        <rFont val="Dotum"/>
      </rPr>
      <t>크린세이프피에이액</t>
    </r>
    <r>
      <rPr>
        <sz val="10"/>
        <rFont val="Arial"/>
        <family val="2"/>
      </rPr>
      <t>(</t>
    </r>
    <r>
      <rPr>
        <sz val="10"/>
        <rFont val="Dotum"/>
      </rPr>
      <t>과아세트산액</t>
    </r>
    <r>
      <rPr>
        <sz val="10"/>
        <rFont val="Arial"/>
        <family val="2"/>
      </rPr>
      <t>) [5L/1</t>
    </r>
    <r>
      <rPr>
        <sz val="10"/>
        <rFont val="Dotum"/>
      </rPr>
      <t>통</t>
    </r>
    <r>
      <rPr>
        <sz val="10"/>
        <rFont val="Arial"/>
        <family val="2"/>
      </rPr>
      <t>]</t>
    </r>
  </si>
  <si>
    <r>
      <rPr>
        <b/>
        <sz val="10"/>
        <color rgb="FFFF0000"/>
        <rFont val="Dotum"/>
      </rPr>
      <t>지엘루비콘</t>
    </r>
    <r>
      <rPr>
        <b/>
        <sz val="10"/>
        <color rgb="FFFF0000"/>
        <rFont val="Arial"/>
        <family val="2"/>
      </rPr>
      <t>(</t>
    </r>
    <r>
      <rPr>
        <b/>
        <sz val="10"/>
        <color rgb="FFFF0000"/>
        <rFont val="Dotum"/>
      </rPr>
      <t>주</t>
    </r>
    <r>
      <rPr>
        <b/>
        <sz val="10"/>
        <color rgb="FFFF0000"/>
        <rFont val="Arial"/>
        <family val="2"/>
      </rPr>
      <t>)</t>
    </r>
  </si>
  <si>
    <r>
      <rPr>
        <sz val="10"/>
        <rFont val="Dotum"/>
      </rPr>
      <t>분당서울대학교병원</t>
    </r>
  </si>
  <si>
    <r>
      <rPr>
        <b/>
        <sz val="10"/>
        <color rgb="FFFF0000"/>
        <rFont val="Dotum"/>
      </rPr>
      <t>분당서울대학교병원</t>
    </r>
  </si>
  <si>
    <r>
      <t>(</t>
    </r>
    <r>
      <rPr>
        <sz val="10"/>
        <rFont val="Dotum"/>
      </rPr>
      <t>주</t>
    </r>
    <r>
      <rPr>
        <sz val="10"/>
        <rFont val="Arial"/>
        <family val="2"/>
      </rPr>
      <t>)</t>
    </r>
    <r>
      <rPr>
        <sz val="10"/>
        <rFont val="Dotum"/>
      </rPr>
      <t>기영약품</t>
    </r>
  </si>
  <si>
    <r>
      <t>(</t>
    </r>
    <r>
      <rPr>
        <b/>
        <sz val="10"/>
        <color rgb="FFFF0000"/>
        <rFont val="Dotum"/>
      </rPr>
      <t>주</t>
    </r>
    <r>
      <rPr>
        <b/>
        <sz val="10"/>
        <color rgb="FFFF0000"/>
        <rFont val="Arial"/>
        <family val="2"/>
      </rPr>
      <t>)</t>
    </r>
    <r>
      <rPr>
        <b/>
        <sz val="10"/>
        <color rgb="FFFF0000"/>
        <rFont val="Dotum"/>
      </rPr>
      <t>기영약품</t>
    </r>
  </si>
  <si>
    <r>
      <rPr>
        <sz val="10"/>
        <rFont val="Dotum"/>
      </rPr>
      <t>헤모시스에이지액</t>
    </r>
    <r>
      <rPr>
        <sz val="10"/>
        <rFont val="Arial"/>
        <family val="2"/>
      </rPr>
      <t xml:space="preserve"> 5.5L [5.5L]</t>
    </r>
  </si>
  <si>
    <r>
      <rPr>
        <sz val="10"/>
        <rFont val="Dotum"/>
      </rPr>
      <t>남양약품</t>
    </r>
    <r>
      <rPr>
        <sz val="10"/>
        <rFont val="Arial"/>
        <family val="2"/>
      </rPr>
      <t>(</t>
    </r>
    <r>
      <rPr>
        <sz val="10"/>
        <rFont val="Dotum"/>
      </rPr>
      <t>주</t>
    </r>
    <r>
      <rPr>
        <sz val="10"/>
        <rFont val="Arial"/>
        <family val="2"/>
      </rPr>
      <t>)</t>
    </r>
  </si>
  <si>
    <r>
      <rPr>
        <b/>
        <sz val="10"/>
        <color rgb="FFFF0000"/>
        <rFont val="Dotum"/>
      </rPr>
      <t>남양약품</t>
    </r>
    <r>
      <rPr>
        <b/>
        <sz val="10"/>
        <color rgb="FFFF0000"/>
        <rFont val="Arial"/>
        <family val="2"/>
      </rPr>
      <t>(</t>
    </r>
    <r>
      <rPr>
        <b/>
        <sz val="10"/>
        <color rgb="FFFF0000"/>
        <rFont val="Dotum"/>
      </rPr>
      <t>주</t>
    </r>
    <r>
      <rPr>
        <b/>
        <sz val="10"/>
        <color rgb="FFFF0000"/>
        <rFont val="Arial"/>
        <family val="2"/>
      </rPr>
      <t>)</t>
    </r>
  </si>
  <si>
    <r>
      <rPr>
        <sz val="10"/>
        <rFont val="Dotum"/>
      </rPr>
      <t>아주대학교요양병원</t>
    </r>
  </si>
  <si>
    <r>
      <rPr>
        <b/>
        <sz val="10"/>
        <color rgb="FFFF0000"/>
        <rFont val="Dotum"/>
      </rPr>
      <t>아주대학교요양병원</t>
    </r>
  </si>
  <si>
    <r>
      <rPr>
        <b/>
        <sz val="10"/>
        <color rgb="FFFF0000"/>
        <rFont val="돋움"/>
        <family val="2"/>
        <charset val="129"/>
      </rPr>
      <t>연세진내과</t>
    </r>
    <phoneticPr fontId="7" type="noConversion"/>
  </si>
  <si>
    <r>
      <rPr>
        <sz val="10"/>
        <rFont val="Dotum"/>
      </rPr>
      <t>서울대학교병원</t>
    </r>
  </si>
  <si>
    <r>
      <rPr>
        <b/>
        <sz val="10"/>
        <color rgb="FFFF0000"/>
        <rFont val="Dotum"/>
      </rPr>
      <t>서울대학교병원</t>
    </r>
  </si>
  <si>
    <r>
      <rPr>
        <sz val="10"/>
        <rFont val="Dotum"/>
      </rPr>
      <t>삼성서울병원</t>
    </r>
  </si>
  <si>
    <r>
      <rPr>
        <b/>
        <sz val="10"/>
        <color rgb="FFFF0000"/>
        <rFont val="Dotum"/>
      </rPr>
      <t>삼성서울병원</t>
    </r>
  </si>
  <si>
    <r>
      <rPr>
        <sz val="10"/>
        <rFont val="Dotum"/>
      </rPr>
      <t>강릉아산병원</t>
    </r>
  </si>
  <si>
    <r>
      <rPr>
        <b/>
        <sz val="10"/>
        <color rgb="FFFF0000"/>
        <rFont val="Dotum"/>
      </rPr>
      <t>강릉아산병원</t>
    </r>
  </si>
  <si>
    <r>
      <rPr>
        <sz val="10"/>
        <rFont val="Dotum"/>
      </rPr>
      <t>서울특별시</t>
    </r>
    <r>
      <rPr>
        <sz val="10"/>
        <rFont val="Arial"/>
        <family val="2"/>
      </rPr>
      <t xml:space="preserve"> </t>
    </r>
    <r>
      <rPr>
        <sz val="10"/>
        <rFont val="Dotum"/>
      </rPr>
      <t>보라매병원</t>
    </r>
  </si>
  <si>
    <r>
      <rPr>
        <b/>
        <sz val="10"/>
        <color rgb="FFFF0000"/>
        <rFont val="Dotum"/>
      </rPr>
      <t>서울특별시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Dotum"/>
      </rPr>
      <t>보라매병원</t>
    </r>
  </si>
  <si>
    <r>
      <rPr>
        <sz val="10"/>
        <rFont val="Dotum"/>
      </rPr>
      <t>헤모시스에이지액</t>
    </r>
    <r>
      <rPr>
        <sz val="10"/>
        <rFont val="Arial"/>
        <family val="2"/>
      </rPr>
      <t xml:space="preserve"> 10L [10L]</t>
    </r>
  </si>
  <si>
    <r>
      <rPr>
        <sz val="10"/>
        <rFont val="Dotum"/>
      </rPr>
      <t>맑은담</t>
    </r>
    <r>
      <rPr>
        <sz val="10"/>
        <rFont val="Arial"/>
        <family val="2"/>
      </rPr>
      <t xml:space="preserve"> </t>
    </r>
    <r>
      <rPr>
        <sz val="10"/>
        <rFont val="Dotum"/>
      </rPr>
      <t>내과의원</t>
    </r>
  </si>
  <si>
    <r>
      <rPr>
        <sz val="10"/>
        <rFont val="Dotum"/>
      </rPr>
      <t>에포틴플러스프리필드주</t>
    </r>
    <r>
      <rPr>
        <sz val="10"/>
        <rFont val="Arial"/>
        <family val="2"/>
      </rPr>
      <t>2000IU/0.5mL [0.5mL]</t>
    </r>
  </si>
  <si>
    <r>
      <rPr>
        <sz val="10"/>
        <rFont val="Dotum"/>
      </rPr>
      <t>에포틴플러스프리필드주</t>
    </r>
    <r>
      <rPr>
        <sz val="10"/>
        <rFont val="Arial"/>
        <family val="2"/>
      </rPr>
      <t>10000IU/0.4mL [0.4mL]</t>
    </r>
  </si>
  <si>
    <r>
      <rPr>
        <sz val="10"/>
        <rFont val="Dotum"/>
      </rPr>
      <t>에포틴플러스프리필드주</t>
    </r>
    <r>
      <rPr>
        <sz val="10"/>
        <rFont val="Arial"/>
        <family val="2"/>
      </rPr>
      <t>10000IU/0.6mL [0.6mL]</t>
    </r>
  </si>
  <si>
    <r>
      <rPr>
        <sz val="10"/>
        <rFont val="Dotum"/>
      </rPr>
      <t>에포틴플러스프리필드주</t>
    </r>
    <r>
      <rPr>
        <sz val="10"/>
        <rFont val="Arial"/>
        <family val="2"/>
      </rPr>
      <t>10000IU/0.8mL [0.8mL]</t>
    </r>
  </si>
  <si>
    <r>
      <rPr>
        <sz val="10"/>
        <rFont val="Dotum"/>
      </rPr>
      <t>에포카인프리필드주</t>
    </r>
    <r>
      <rPr>
        <sz val="10"/>
        <rFont val="Arial"/>
        <family val="2"/>
      </rPr>
      <t>10000IU/mL(1mL) [10000IU/mL(1mL)]</t>
    </r>
  </si>
  <si>
    <r>
      <rPr>
        <b/>
        <sz val="10"/>
        <color rgb="FFFF0000"/>
        <rFont val="Dotum"/>
      </rPr>
      <t>맑은담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Dotum"/>
      </rPr>
      <t>내과의원</t>
    </r>
  </si>
  <si>
    <r>
      <rPr>
        <sz val="10"/>
        <rFont val="Dotum"/>
      </rPr>
      <t>네스프</t>
    </r>
    <r>
      <rPr>
        <sz val="10"/>
        <rFont val="Arial"/>
        <family val="2"/>
      </rPr>
      <t xml:space="preserve"> </t>
    </r>
    <r>
      <rPr>
        <sz val="10"/>
        <rFont val="Dotum"/>
      </rPr>
      <t>프리필드시린지</t>
    </r>
    <r>
      <rPr>
        <sz val="10"/>
        <rFont val="Arial"/>
        <family val="2"/>
      </rPr>
      <t xml:space="preserve"> </t>
    </r>
    <r>
      <rPr>
        <sz val="10"/>
        <rFont val="Dotum"/>
      </rPr>
      <t>주</t>
    </r>
    <r>
      <rPr>
        <sz val="10"/>
        <rFont val="Arial"/>
        <family val="2"/>
      </rPr>
      <t xml:space="preserve"> 120/0.5mL [120/0.5mL]</t>
    </r>
  </si>
  <si>
    <r>
      <rPr>
        <sz val="10"/>
        <rFont val="Dotum"/>
      </rPr>
      <t>나리약국</t>
    </r>
  </si>
  <si>
    <r>
      <rPr>
        <b/>
        <sz val="10"/>
        <color rgb="FFFF0000"/>
        <rFont val="Dotum"/>
      </rPr>
      <t>나리약국</t>
    </r>
  </si>
  <si>
    <r>
      <rPr>
        <sz val="10"/>
        <rFont val="Dotum"/>
      </rPr>
      <t>헤모시스비액</t>
    </r>
    <r>
      <rPr>
        <sz val="10"/>
        <rFont val="Arial"/>
        <family val="2"/>
      </rPr>
      <t xml:space="preserve"> 6.3L [6.3L]</t>
    </r>
  </si>
  <si>
    <r>
      <rPr>
        <sz val="10"/>
        <rFont val="Dotum"/>
      </rPr>
      <t>서현의료재단</t>
    </r>
  </si>
  <si>
    <r>
      <rPr>
        <sz val="10"/>
        <rFont val="Dotum"/>
      </rPr>
      <t>에포틴플러스프리필드주</t>
    </r>
    <r>
      <rPr>
        <sz val="10"/>
        <rFont val="Arial"/>
        <family val="2"/>
      </rPr>
      <t>10000IU/1mL [1mL]</t>
    </r>
  </si>
  <si>
    <r>
      <rPr>
        <b/>
        <sz val="10"/>
        <color rgb="FFFF0000"/>
        <rFont val="Dotum"/>
      </rPr>
      <t>서현의료재단</t>
    </r>
  </si>
  <si>
    <r>
      <rPr>
        <sz val="10"/>
        <rFont val="Dotum"/>
      </rPr>
      <t>디에취덱스액</t>
    </r>
    <r>
      <rPr>
        <sz val="10"/>
        <rFont val="Arial"/>
        <family val="2"/>
      </rPr>
      <t xml:space="preserve"> 0.1</t>
    </r>
    <r>
      <rPr>
        <sz val="10"/>
        <rFont val="Dotum"/>
      </rPr>
      <t>％</t>
    </r>
  </si>
  <si>
    <r>
      <rPr>
        <sz val="10"/>
        <rFont val="맑은 고딕"/>
        <family val="2"/>
        <charset val="129"/>
      </rPr>
      <t>박애의료재단</t>
    </r>
    <phoneticPr fontId="7" type="noConversion"/>
  </si>
  <si>
    <r>
      <t>1</t>
    </r>
    <r>
      <rPr>
        <sz val="10"/>
        <rFont val="Calibri"/>
        <family val="2"/>
      </rPr>
      <t>월</t>
    </r>
    <r>
      <rPr>
        <sz val="10"/>
        <rFont val="맑은 고딕"/>
        <family val="2"/>
        <charset val="129"/>
      </rPr>
      <t/>
    </r>
  </si>
  <si>
    <r>
      <rPr>
        <sz val="10"/>
        <rFont val="Dotum"/>
      </rPr>
      <t>트리캅</t>
    </r>
    <r>
      <rPr>
        <sz val="10"/>
        <rFont val="Arial"/>
        <family val="2"/>
      </rPr>
      <t xml:space="preserve"> C-50</t>
    </r>
  </si>
  <si>
    <r>
      <rPr>
        <b/>
        <sz val="10"/>
        <color rgb="FFFF0000"/>
        <rFont val="맑은 고딕"/>
        <family val="2"/>
        <charset val="129"/>
      </rPr>
      <t>박애의료재단</t>
    </r>
    <phoneticPr fontId="7" type="noConversion"/>
  </si>
  <si>
    <r>
      <rPr>
        <sz val="10"/>
        <rFont val="Dotum"/>
      </rPr>
      <t>서울원내과</t>
    </r>
  </si>
  <si>
    <r>
      <rPr>
        <b/>
        <sz val="10"/>
        <color rgb="FFFF0000"/>
        <rFont val="Dotum"/>
      </rPr>
      <t>서울원내과</t>
    </r>
  </si>
  <si>
    <r>
      <t>(</t>
    </r>
    <r>
      <rPr>
        <sz val="10"/>
        <rFont val="Dotum"/>
      </rPr>
      <t>생</t>
    </r>
    <r>
      <rPr>
        <sz val="10"/>
        <rFont val="Arial"/>
        <family val="2"/>
      </rPr>
      <t>.</t>
    </r>
    <r>
      <rPr>
        <sz val="10"/>
        <rFont val="Dotum"/>
      </rPr>
      <t>냉</t>
    </r>
    <r>
      <rPr>
        <sz val="10"/>
        <rFont val="Arial"/>
        <family val="2"/>
      </rPr>
      <t>)</t>
    </r>
    <r>
      <rPr>
        <sz val="10"/>
        <rFont val="Dotum"/>
      </rPr>
      <t>팬포틴프리필드</t>
    </r>
    <r>
      <rPr>
        <sz val="10"/>
        <rFont val="Arial"/>
        <family val="2"/>
      </rPr>
      <t>/2000IU/6</t>
    </r>
    <r>
      <rPr>
        <sz val="10"/>
        <rFont val="Dotum"/>
      </rPr>
      <t>관</t>
    </r>
  </si>
  <si>
    <r>
      <rPr>
        <sz val="10"/>
        <rFont val="Dotum"/>
      </rPr>
      <t>서울박내과</t>
    </r>
  </si>
  <si>
    <r>
      <rPr>
        <b/>
        <sz val="10"/>
        <color rgb="FFFF0000"/>
        <rFont val="Dotum"/>
      </rPr>
      <t>서울박내과</t>
    </r>
  </si>
  <si>
    <r>
      <rPr>
        <sz val="10"/>
        <rFont val="Dotum"/>
      </rPr>
      <t>생물</t>
    </r>
    <r>
      <rPr>
        <sz val="10"/>
        <rFont val="Arial"/>
        <family val="2"/>
      </rPr>
      <t>]</t>
    </r>
    <r>
      <rPr>
        <sz val="10"/>
        <rFont val="Dotum"/>
      </rPr>
      <t>마운자로프리필드펜주</t>
    </r>
    <r>
      <rPr>
        <sz val="10"/>
        <rFont val="Arial"/>
        <family val="2"/>
      </rPr>
      <t>2.5mg/4PEN</t>
    </r>
  </si>
  <si>
    <r>
      <rPr>
        <sz val="10"/>
        <rFont val="Dotum"/>
      </rPr>
      <t>이한규내과</t>
    </r>
  </si>
  <si>
    <r>
      <rPr>
        <sz val="10"/>
        <rFont val="Dotum"/>
      </rPr>
      <t>헤모시스비액</t>
    </r>
    <r>
      <rPr>
        <sz val="10"/>
        <rFont val="Arial"/>
        <family val="2"/>
      </rPr>
      <t xml:space="preserve"> 12.6L [12.6L]</t>
    </r>
  </si>
  <si>
    <r>
      <rPr>
        <sz val="10"/>
        <rFont val="Dotum"/>
      </rPr>
      <t>혈액투석여과기</t>
    </r>
    <r>
      <rPr>
        <sz val="10"/>
        <rFont val="Arial"/>
        <family val="2"/>
      </rPr>
      <t xml:space="preserve"> EK-13H [24EA/BOX]</t>
    </r>
  </si>
  <si>
    <r>
      <rPr>
        <sz val="10"/>
        <rFont val="Dotum"/>
      </rPr>
      <t>혈액투석여과기</t>
    </r>
    <r>
      <rPr>
        <sz val="10"/>
        <rFont val="Arial"/>
        <family val="2"/>
      </rPr>
      <t xml:space="preserve"> EK-15H [24EA/1BOX]</t>
    </r>
  </si>
  <si>
    <r>
      <rPr>
        <sz val="10"/>
        <rFont val="Dotum"/>
      </rPr>
      <t>혈액투석여과기</t>
    </r>
    <r>
      <rPr>
        <sz val="10"/>
        <rFont val="Arial"/>
        <family val="2"/>
      </rPr>
      <t xml:space="preserve"> EK-17H [24EA/1BOX]</t>
    </r>
  </si>
  <si>
    <r>
      <rPr>
        <sz val="10"/>
        <rFont val="Dotum"/>
      </rPr>
      <t>혈액회로</t>
    </r>
    <r>
      <rPr>
        <sz val="10"/>
        <rFont val="Arial"/>
        <family val="2"/>
      </rPr>
      <t xml:space="preserve"> (A004DR/V600DR) HD [24EA/BOX]</t>
    </r>
  </si>
  <si>
    <r>
      <rPr>
        <sz val="10"/>
        <rFont val="Dotum"/>
      </rPr>
      <t>혈액회로</t>
    </r>
    <r>
      <rPr>
        <sz val="10"/>
        <rFont val="Arial"/>
        <family val="2"/>
      </rPr>
      <t xml:space="preserve"> (A004DR/V600DR) HDF [24EA/BOX]</t>
    </r>
  </si>
  <si>
    <r>
      <rPr>
        <sz val="10"/>
        <rFont val="Dotum"/>
      </rPr>
      <t>혈액회로</t>
    </r>
    <r>
      <rPr>
        <sz val="10"/>
        <rFont val="Arial"/>
        <family val="2"/>
      </rPr>
      <t xml:space="preserve"> A008DR(K) HDF [HDF </t>
    </r>
    <r>
      <rPr>
        <sz val="10"/>
        <rFont val="Dotum"/>
      </rPr>
      <t>보액라인</t>
    </r>
    <r>
      <rPr>
        <sz val="10"/>
        <rFont val="Arial"/>
        <family val="2"/>
      </rPr>
      <t>]</t>
    </r>
  </si>
  <si>
    <r>
      <rPr>
        <b/>
        <sz val="10"/>
        <color rgb="FFFF0000"/>
        <rFont val="Dotum"/>
      </rPr>
      <t>이한규내과</t>
    </r>
  </si>
  <si>
    <r>
      <rPr>
        <sz val="10"/>
        <rFont val="Dotum"/>
      </rPr>
      <t>헤모크린액</t>
    </r>
  </si>
  <si>
    <r>
      <rPr>
        <sz val="10"/>
        <rFont val="Dotum"/>
      </rPr>
      <t>엘병원</t>
    </r>
  </si>
  <si>
    <r>
      <rPr>
        <sz val="10"/>
        <rFont val="Dotum"/>
      </rPr>
      <t>멀티빅무칼륨액</t>
    </r>
    <r>
      <rPr>
        <sz val="10"/>
        <rFont val="Arial"/>
        <family val="2"/>
      </rPr>
      <t>_(5l)</t>
    </r>
  </si>
  <si>
    <r>
      <rPr>
        <sz val="10"/>
        <rFont val="Dotum"/>
      </rPr>
      <t>멀티빅</t>
    </r>
    <r>
      <rPr>
        <sz val="10"/>
        <rFont val="Arial"/>
        <family val="2"/>
      </rPr>
      <t>2</t>
    </r>
    <r>
      <rPr>
        <sz val="10"/>
        <rFont val="Dotum"/>
      </rPr>
      <t>칼륨액</t>
    </r>
    <r>
      <rPr>
        <sz val="10"/>
        <rFont val="Arial"/>
        <family val="2"/>
      </rPr>
      <t>5L_(5L)</t>
    </r>
  </si>
  <si>
    <r>
      <rPr>
        <sz val="10"/>
        <rFont val="Dotum"/>
      </rPr>
      <t>멀티빅</t>
    </r>
    <r>
      <rPr>
        <sz val="10"/>
        <rFont val="Arial"/>
        <family val="2"/>
      </rPr>
      <t>4</t>
    </r>
    <r>
      <rPr>
        <sz val="10"/>
        <rFont val="Dotum"/>
      </rPr>
      <t>칼륨액</t>
    </r>
    <r>
      <rPr>
        <sz val="10"/>
        <rFont val="Arial"/>
        <family val="2"/>
      </rPr>
      <t>5L_(5L)</t>
    </r>
  </si>
  <si>
    <r>
      <rPr>
        <b/>
        <sz val="10"/>
        <color rgb="FFFF0000"/>
        <rFont val="Dotum"/>
      </rPr>
      <t>엘병원</t>
    </r>
  </si>
  <si>
    <r>
      <rPr>
        <sz val="10"/>
        <rFont val="Dotum"/>
      </rPr>
      <t>헤모시스에이지액</t>
    </r>
    <r>
      <rPr>
        <sz val="10"/>
        <rFont val="Arial"/>
        <family val="2"/>
      </rPr>
      <t xml:space="preserve"> 10L</t>
    </r>
  </si>
  <si>
    <r>
      <rPr>
        <sz val="10"/>
        <rFont val="맑은 고딕"/>
        <family val="2"/>
        <charset val="129"/>
      </rPr>
      <t>연세김</t>
    </r>
    <phoneticPr fontId="7" type="noConversion"/>
  </si>
  <si>
    <r>
      <rPr>
        <sz val="10"/>
        <rFont val="Dotum"/>
      </rPr>
      <t>나파스타주</t>
    </r>
    <r>
      <rPr>
        <sz val="10"/>
        <rFont val="Arial"/>
        <family val="2"/>
      </rPr>
      <t>50mg</t>
    </r>
  </si>
  <si>
    <r>
      <rPr>
        <sz val="10"/>
        <rFont val="Dotum"/>
      </rPr>
      <t>그린헥시딘스틱스왑액</t>
    </r>
  </si>
  <si>
    <r>
      <t xml:space="preserve">2026/01  </t>
    </r>
    <r>
      <rPr>
        <b/>
        <sz val="10"/>
        <color rgb="FFFF0000"/>
        <rFont val="Dotum"/>
      </rPr>
      <t>계</t>
    </r>
    <phoneticPr fontId="7" type="noConversion"/>
  </si>
  <si>
    <r>
      <rPr>
        <b/>
        <sz val="10"/>
        <color rgb="FFFF0000"/>
        <rFont val="맑은 고딕"/>
        <family val="2"/>
        <charset val="129"/>
      </rPr>
      <t>연세김</t>
    </r>
    <phoneticPr fontId="7" type="noConversion"/>
  </si>
  <si>
    <r>
      <rPr>
        <sz val="10"/>
        <rFont val="Dotum"/>
      </rPr>
      <t>연세윤내과</t>
    </r>
  </si>
  <si>
    <r>
      <rPr>
        <sz val="10"/>
        <rFont val="Dotum"/>
      </rPr>
      <t>대한멸균생리식염수</t>
    </r>
    <r>
      <rPr>
        <sz val="10"/>
        <rFont val="Arial"/>
        <family val="2"/>
      </rPr>
      <t>(</t>
    </r>
    <r>
      <rPr>
        <sz val="10"/>
        <rFont val="Dotum"/>
      </rPr>
      <t>생리식염주사액</t>
    </r>
    <r>
      <rPr>
        <sz val="10"/>
        <rFont val="Arial"/>
        <family val="2"/>
      </rPr>
      <t>) [1000ML]</t>
    </r>
  </si>
  <si>
    <r>
      <rPr>
        <sz val="10"/>
        <rFont val="Dotum"/>
      </rPr>
      <t>대한멸균생리식염수</t>
    </r>
    <r>
      <rPr>
        <sz val="10"/>
        <rFont val="Arial"/>
        <family val="2"/>
      </rPr>
      <t>100ml [100ML]</t>
    </r>
  </si>
  <si>
    <r>
      <rPr>
        <sz val="10"/>
        <rFont val="Dotum"/>
      </rPr>
      <t>대한생리식염주사액</t>
    </r>
    <r>
      <rPr>
        <sz val="10"/>
        <rFont val="Arial"/>
        <family val="2"/>
      </rPr>
      <t>20ml [20ml]</t>
    </r>
  </si>
  <si>
    <r>
      <rPr>
        <sz val="10"/>
        <rFont val="Dotum"/>
      </rPr>
      <t>네프리솔</t>
    </r>
    <r>
      <rPr>
        <sz val="10"/>
        <rFont val="Arial"/>
        <family val="2"/>
      </rPr>
      <t>(250ml/</t>
    </r>
    <r>
      <rPr>
        <sz val="10"/>
        <rFont val="Dotum"/>
      </rPr>
      <t>백</t>
    </r>
    <r>
      <rPr>
        <sz val="10"/>
        <rFont val="Arial"/>
        <family val="2"/>
      </rPr>
      <t>) [250ml]</t>
    </r>
  </si>
  <si>
    <r>
      <rPr>
        <sz val="10"/>
        <rFont val="Dotum"/>
      </rPr>
      <t>에이에취디액</t>
    </r>
    <r>
      <rPr>
        <sz val="10"/>
        <rFont val="Arial"/>
        <family val="2"/>
      </rPr>
      <t xml:space="preserve"> 1</t>
    </r>
    <r>
      <rPr>
        <sz val="10"/>
        <rFont val="Dotum"/>
      </rPr>
      <t>호</t>
    </r>
    <r>
      <rPr>
        <sz val="10"/>
        <rFont val="Arial"/>
        <family val="2"/>
      </rPr>
      <t xml:space="preserve"> A</t>
    </r>
    <r>
      <rPr>
        <sz val="10"/>
        <rFont val="Dotum"/>
      </rPr>
      <t>액</t>
    </r>
    <r>
      <rPr>
        <sz val="10"/>
        <rFont val="Arial"/>
        <family val="2"/>
      </rPr>
      <t xml:space="preserve"> 10L</t>
    </r>
  </si>
  <si>
    <r>
      <rPr>
        <sz val="10"/>
        <rFont val="Dotum"/>
      </rPr>
      <t>에이에취디액</t>
    </r>
    <r>
      <rPr>
        <sz val="10"/>
        <rFont val="Arial"/>
        <family val="2"/>
      </rPr>
      <t>1</t>
    </r>
    <r>
      <rPr>
        <sz val="10"/>
        <rFont val="Dotum"/>
      </rPr>
      <t>호</t>
    </r>
    <r>
      <rPr>
        <sz val="10"/>
        <rFont val="Arial"/>
        <family val="2"/>
      </rPr>
      <t xml:space="preserve"> B</t>
    </r>
    <r>
      <rPr>
        <sz val="10"/>
        <rFont val="Dotum"/>
      </rPr>
      <t>액</t>
    </r>
    <r>
      <rPr>
        <sz val="10"/>
        <rFont val="Arial"/>
        <family val="2"/>
      </rPr>
      <t xml:space="preserve"> 12.6L</t>
    </r>
  </si>
  <si>
    <r>
      <rPr>
        <sz val="10"/>
        <rFont val="Dotum"/>
      </rPr>
      <t>중외헤파린나트륨주사액</t>
    </r>
    <r>
      <rPr>
        <sz val="10"/>
        <rFont val="Arial"/>
        <family val="2"/>
      </rPr>
      <t>1000IU_(20KI.U/20mL) [20/mL/</t>
    </r>
    <r>
      <rPr>
        <sz val="10"/>
        <rFont val="Dotum"/>
      </rPr>
      <t>병</t>
    </r>
    <r>
      <rPr>
        <sz val="10"/>
        <rFont val="Arial"/>
        <family val="2"/>
      </rPr>
      <t>]</t>
    </r>
  </si>
  <si>
    <r>
      <rPr>
        <sz val="10"/>
        <rFont val="Dotum"/>
      </rPr>
      <t>네스티칼현탁액</t>
    </r>
    <r>
      <rPr>
        <sz val="10"/>
        <rFont val="Arial"/>
        <family val="2"/>
      </rPr>
      <t xml:space="preserve"> 20mL*20P</t>
    </r>
  </si>
  <si>
    <r>
      <rPr>
        <sz val="10"/>
        <rFont val="Dotum"/>
      </rPr>
      <t>레날민정</t>
    </r>
    <r>
      <rPr>
        <sz val="10"/>
        <rFont val="Arial"/>
        <family val="2"/>
      </rPr>
      <t>60mg 300T</t>
    </r>
  </si>
  <si>
    <r>
      <rPr>
        <sz val="10"/>
        <rFont val="Dotum"/>
      </rPr>
      <t>미쎄라프리필드주</t>
    </r>
    <r>
      <rPr>
        <sz val="10"/>
        <rFont val="Arial"/>
        <family val="2"/>
      </rPr>
      <t>150mcg [0.3ml]</t>
    </r>
  </si>
  <si>
    <r>
      <rPr>
        <sz val="10"/>
        <rFont val="Dotum"/>
      </rPr>
      <t>유한세파졸린주사</t>
    </r>
    <r>
      <rPr>
        <sz val="10"/>
        <rFont val="Arial"/>
        <family val="2"/>
      </rPr>
      <t>1000mg [1000mg]</t>
    </r>
  </si>
  <si>
    <r>
      <rPr>
        <sz val="10"/>
        <rFont val="Dotum"/>
      </rPr>
      <t>이노엔반코마이신염산염주</t>
    </r>
    <r>
      <rPr>
        <sz val="10"/>
        <rFont val="Arial"/>
        <family val="2"/>
      </rPr>
      <t xml:space="preserve"> 500mg/10ml</t>
    </r>
  </si>
  <si>
    <r>
      <rPr>
        <b/>
        <sz val="10"/>
        <color rgb="FFFF0000"/>
        <rFont val="Dotum"/>
      </rPr>
      <t>연세윤내과</t>
    </r>
  </si>
  <si>
    <r>
      <t>2</t>
    </r>
    <r>
      <rPr>
        <sz val="10"/>
        <rFont val="Calibri"/>
        <family val="2"/>
      </rPr>
      <t>월</t>
    </r>
    <r>
      <rPr>
        <sz val="10"/>
        <rFont val="맑은 고딕"/>
        <family val="2"/>
        <charset val="129"/>
      </rPr>
      <t/>
    </r>
  </si>
  <si>
    <r>
      <rPr>
        <sz val="10"/>
        <rFont val="Dotum"/>
      </rPr>
      <t>대한디클로페낙주</t>
    </r>
    <r>
      <rPr>
        <sz val="10"/>
        <rFont val="Arial"/>
        <family val="2"/>
      </rPr>
      <t>2ml [2ml]</t>
    </r>
  </si>
  <si>
    <r>
      <rPr>
        <sz val="10"/>
        <rFont val="Dotum"/>
      </rPr>
      <t>헤파린주</t>
    </r>
    <r>
      <rPr>
        <sz val="10"/>
        <rFont val="Arial"/>
        <family val="2"/>
      </rPr>
      <t xml:space="preserve"> [25000IU/5ml/10A]</t>
    </r>
  </si>
  <si>
    <r>
      <rPr>
        <sz val="10"/>
        <rFont val="Dotum"/>
      </rPr>
      <t>애니펜정</t>
    </r>
    <r>
      <rPr>
        <sz val="10"/>
        <rFont val="Arial"/>
        <family val="2"/>
      </rPr>
      <t xml:space="preserve"> [300mg 500T]</t>
    </r>
  </si>
  <si>
    <r>
      <rPr>
        <sz val="10"/>
        <rFont val="Dotum"/>
      </rPr>
      <t>연세준내과</t>
    </r>
  </si>
  <si>
    <r>
      <rPr>
        <sz val="10"/>
        <rFont val="Dotum"/>
      </rPr>
      <t>베노훼럼주</t>
    </r>
    <r>
      <rPr>
        <sz val="10"/>
        <rFont val="Arial"/>
        <family val="2"/>
      </rPr>
      <t>/5ml/5A [5ml/5A]</t>
    </r>
  </si>
  <si>
    <r>
      <rPr>
        <sz val="10"/>
        <rFont val="Dotum"/>
      </rPr>
      <t>카슈트현탁액</t>
    </r>
    <r>
      <rPr>
        <sz val="10"/>
        <rFont val="Arial"/>
        <family val="2"/>
      </rPr>
      <t xml:space="preserve"> [20ml]</t>
    </r>
  </si>
  <si>
    <r>
      <rPr>
        <sz val="10"/>
        <rFont val="Dotum"/>
      </rPr>
      <t>스토가정</t>
    </r>
    <r>
      <rPr>
        <sz val="10"/>
        <rFont val="Arial"/>
        <family val="2"/>
      </rPr>
      <t>300T</t>
    </r>
  </si>
  <si>
    <r>
      <rPr>
        <sz val="10"/>
        <rFont val="Dotum"/>
      </rPr>
      <t>리나치올캡슐</t>
    </r>
    <r>
      <rPr>
        <sz val="10"/>
        <rFont val="Arial"/>
        <family val="2"/>
      </rPr>
      <t>375mg/200C</t>
    </r>
  </si>
  <si>
    <r>
      <rPr>
        <sz val="10"/>
        <rFont val="Dotum"/>
      </rPr>
      <t>세비카정</t>
    </r>
    <r>
      <rPr>
        <sz val="10"/>
        <rFont val="Arial"/>
        <family val="2"/>
      </rPr>
      <t>5/40 [28T]</t>
    </r>
  </si>
  <si>
    <r>
      <rPr>
        <sz val="10"/>
        <rFont val="Dotum"/>
      </rPr>
      <t>시그마트정</t>
    </r>
    <r>
      <rPr>
        <sz val="10"/>
        <rFont val="Arial"/>
        <family val="2"/>
      </rPr>
      <t>5mg 500T [500T]</t>
    </r>
  </si>
  <si>
    <r>
      <rPr>
        <sz val="10"/>
        <rFont val="Dotum"/>
      </rPr>
      <t>네오신정</t>
    </r>
    <r>
      <rPr>
        <sz val="10"/>
        <rFont val="Arial"/>
        <family val="2"/>
      </rPr>
      <t xml:space="preserve"> [1000</t>
    </r>
    <r>
      <rPr>
        <sz val="10"/>
        <rFont val="Dotum"/>
      </rPr>
      <t>정</t>
    </r>
    <r>
      <rPr>
        <sz val="10"/>
        <rFont val="Arial"/>
        <family val="2"/>
      </rPr>
      <t>]</t>
    </r>
  </si>
  <si>
    <r>
      <rPr>
        <sz val="10"/>
        <rFont val="Dotum"/>
      </rPr>
      <t>본키연질캅셀</t>
    </r>
    <r>
      <rPr>
        <sz val="10"/>
        <rFont val="Arial"/>
        <family val="2"/>
      </rPr>
      <t>0.25ug 100C</t>
    </r>
  </si>
  <si>
    <r>
      <rPr>
        <sz val="10"/>
        <rFont val="Dotum"/>
      </rPr>
      <t>자니딥정</t>
    </r>
    <r>
      <rPr>
        <sz val="10"/>
        <rFont val="Arial"/>
        <family val="2"/>
      </rPr>
      <t xml:space="preserve"> 100T [100T]</t>
    </r>
  </si>
  <si>
    <r>
      <rPr>
        <sz val="10"/>
        <rFont val="Dotum"/>
      </rPr>
      <t>암로맥스정</t>
    </r>
    <r>
      <rPr>
        <sz val="10"/>
        <rFont val="Arial"/>
        <family val="2"/>
      </rPr>
      <t>5mg 100T [5mg/100T]</t>
    </r>
  </si>
  <si>
    <r>
      <rPr>
        <sz val="10"/>
        <rFont val="Dotum"/>
      </rPr>
      <t>코푸정</t>
    </r>
    <r>
      <rPr>
        <sz val="10"/>
        <rFont val="Arial"/>
        <family val="2"/>
      </rPr>
      <t>(</t>
    </r>
    <r>
      <rPr>
        <sz val="10"/>
        <rFont val="Dotum"/>
      </rPr>
      <t>한외</t>
    </r>
    <r>
      <rPr>
        <sz val="10"/>
        <rFont val="Arial"/>
        <family val="2"/>
      </rPr>
      <t>) 1000T</t>
    </r>
  </si>
  <si>
    <r>
      <rPr>
        <b/>
        <sz val="10"/>
        <color rgb="FFFF0000"/>
        <rFont val="Dotum"/>
      </rPr>
      <t>연세준내과</t>
    </r>
  </si>
  <si>
    <r>
      <t>2</t>
    </r>
    <r>
      <rPr>
        <sz val="10"/>
        <rFont val="Dotum"/>
        <family val="3"/>
        <charset val="129"/>
      </rPr>
      <t>월</t>
    </r>
  </si>
  <si>
    <r>
      <rPr>
        <sz val="10"/>
        <rFont val="Dotum"/>
      </rPr>
      <t>네오본주</t>
    </r>
    <r>
      <rPr>
        <sz val="10"/>
        <rFont val="Arial"/>
        <family val="2"/>
      </rPr>
      <t>1ug 10A [1ug 10A]</t>
    </r>
  </si>
  <si>
    <r>
      <rPr>
        <sz val="10"/>
        <rFont val="Dotum"/>
      </rPr>
      <t>콩코르정</t>
    </r>
    <r>
      <rPr>
        <sz val="10"/>
        <rFont val="Arial"/>
        <family val="2"/>
      </rPr>
      <t>2.5mg(</t>
    </r>
    <r>
      <rPr>
        <sz val="10"/>
        <rFont val="Dotum"/>
      </rPr>
      <t>머크</t>
    </r>
    <r>
      <rPr>
        <sz val="10"/>
        <rFont val="Arial"/>
        <family val="2"/>
      </rPr>
      <t>) 30T</t>
    </r>
  </si>
  <si>
    <r>
      <rPr>
        <sz val="10"/>
        <rFont val="Dotum"/>
      </rPr>
      <t>페브릭정</t>
    </r>
    <r>
      <rPr>
        <sz val="10"/>
        <rFont val="Arial"/>
        <family val="2"/>
      </rPr>
      <t>80mg 100T</t>
    </r>
  </si>
  <si>
    <r>
      <rPr>
        <sz val="10"/>
        <rFont val="Dotum"/>
      </rPr>
      <t>카두라엑스엘서방정</t>
    </r>
    <r>
      <rPr>
        <sz val="10"/>
        <rFont val="Arial"/>
        <family val="2"/>
      </rPr>
      <t>4mg(</t>
    </r>
    <r>
      <rPr>
        <sz val="10"/>
        <rFont val="Dotum"/>
      </rPr>
      <t>비아트리스</t>
    </r>
    <r>
      <rPr>
        <sz val="10"/>
        <rFont val="Arial"/>
        <family val="2"/>
      </rPr>
      <t>) 100T</t>
    </r>
  </si>
  <si>
    <r>
      <rPr>
        <sz val="10"/>
        <rFont val="Dotum"/>
      </rPr>
      <t>펜다운캡슐</t>
    </r>
    <r>
      <rPr>
        <sz val="10"/>
        <rFont val="Arial"/>
        <family val="2"/>
      </rPr>
      <t>100mg 200T [200C]</t>
    </r>
  </si>
  <si>
    <r>
      <rPr>
        <sz val="10"/>
        <rFont val="Dotum"/>
      </rPr>
      <t>파비라졸정</t>
    </r>
    <r>
      <rPr>
        <sz val="10"/>
        <rFont val="Arial"/>
        <family val="2"/>
      </rPr>
      <t>10mg 28T [10mg/28T]</t>
    </r>
  </si>
  <si>
    <r>
      <rPr>
        <sz val="10"/>
        <rFont val="Dotum"/>
      </rPr>
      <t>글리원정</t>
    </r>
    <r>
      <rPr>
        <sz val="10"/>
        <rFont val="Arial"/>
        <family val="2"/>
      </rPr>
      <t>4mg 100T</t>
    </r>
  </si>
  <si>
    <r>
      <rPr>
        <sz val="10"/>
        <rFont val="Dotum"/>
      </rPr>
      <t>플라메드정</t>
    </r>
    <r>
      <rPr>
        <sz val="10"/>
        <rFont val="Arial"/>
        <family val="2"/>
      </rPr>
      <t>100T</t>
    </r>
  </si>
  <si>
    <r>
      <rPr>
        <sz val="10"/>
        <rFont val="Dotum"/>
      </rPr>
      <t>포리부틴정</t>
    </r>
    <r>
      <rPr>
        <sz val="10"/>
        <rFont val="Arial"/>
        <family val="2"/>
      </rPr>
      <t>150mg 500T</t>
    </r>
  </si>
  <si>
    <r>
      <t>(</t>
    </r>
    <r>
      <rPr>
        <sz val="10"/>
        <rFont val="Dotum"/>
      </rPr>
      <t>생</t>
    </r>
    <r>
      <rPr>
        <sz val="10"/>
        <rFont val="Arial"/>
        <family val="2"/>
      </rPr>
      <t>.</t>
    </r>
    <r>
      <rPr>
        <sz val="10"/>
        <rFont val="Dotum"/>
      </rPr>
      <t>냉</t>
    </r>
    <r>
      <rPr>
        <sz val="10"/>
        <rFont val="Arial"/>
        <family val="2"/>
      </rPr>
      <t>)</t>
    </r>
    <r>
      <rPr>
        <sz val="10"/>
        <rFont val="Dotum"/>
      </rPr>
      <t>팬포틴프리필드</t>
    </r>
    <r>
      <rPr>
        <sz val="10"/>
        <rFont val="Arial"/>
        <family val="2"/>
      </rPr>
      <t>/4000IU/6</t>
    </r>
    <r>
      <rPr>
        <sz val="10"/>
        <rFont val="Dotum"/>
      </rPr>
      <t>관</t>
    </r>
  </si>
  <si>
    <r>
      <rPr>
        <sz val="10"/>
        <rFont val="Dotum"/>
      </rPr>
      <t>연세정성내과의원</t>
    </r>
  </si>
  <si>
    <r>
      <rPr>
        <sz val="10"/>
        <rFont val="Dotum"/>
      </rPr>
      <t>파리칼주</t>
    </r>
    <r>
      <rPr>
        <sz val="10"/>
        <rFont val="Arial"/>
        <family val="2"/>
      </rPr>
      <t>1mg *10A</t>
    </r>
  </si>
  <si>
    <r>
      <rPr>
        <b/>
        <sz val="10"/>
        <color rgb="FFFF0000"/>
        <rFont val="Dotum"/>
      </rPr>
      <t>연세정성내과의원</t>
    </r>
  </si>
  <si>
    <r>
      <rPr>
        <sz val="10"/>
        <rFont val="Dotum"/>
      </rPr>
      <t>위더스요양병원</t>
    </r>
  </si>
  <si>
    <r>
      <rPr>
        <sz val="10"/>
        <rFont val="Dotum"/>
      </rPr>
      <t>케이바이카트</t>
    </r>
    <r>
      <rPr>
        <sz val="10"/>
        <rFont val="Arial"/>
        <family val="2"/>
      </rPr>
      <t>761 5.5L</t>
    </r>
  </si>
  <si>
    <r>
      <rPr>
        <sz val="10"/>
        <rFont val="Dotum"/>
      </rPr>
      <t>젠벨라정</t>
    </r>
    <r>
      <rPr>
        <sz val="10"/>
        <rFont val="Arial"/>
        <family val="2"/>
      </rPr>
      <t>800mg 180T [180T]</t>
    </r>
  </si>
  <si>
    <r>
      <rPr>
        <sz val="10"/>
        <rFont val="Dotum"/>
      </rPr>
      <t>칼레그나정</t>
    </r>
    <r>
      <rPr>
        <sz val="10"/>
        <rFont val="Arial"/>
        <family val="2"/>
      </rPr>
      <t>25mg 100</t>
    </r>
    <r>
      <rPr>
        <sz val="10"/>
        <rFont val="Dotum"/>
      </rPr>
      <t>정</t>
    </r>
  </si>
  <si>
    <r>
      <rPr>
        <b/>
        <sz val="10"/>
        <color rgb="FFFF0000"/>
        <rFont val="Dotum"/>
      </rPr>
      <t>위더스요양병원</t>
    </r>
  </si>
  <si>
    <r>
      <rPr>
        <sz val="10"/>
        <rFont val="Dotum"/>
      </rPr>
      <t>청아한방병원</t>
    </r>
  </si>
  <si>
    <r>
      <rPr>
        <sz val="10"/>
        <rFont val="Dotum"/>
      </rPr>
      <t>이노엔</t>
    </r>
    <r>
      <rPr>
        <sz val="10"/>
        <rFont val="Arial"/>
        <family val="2"/>
      </rPr>
      <t>0.9</t>
    </r>
    <r>
      <rPr>
        <sz val="10"/>
        <rFont val="Dotum"/>
      </rPr>
      <t>％</t>
    </r>
    <r>
      <rPr>
        <sz val="10"/>
        <rFont val="Arial"/>
        <family val="2"/>
      </rPr>
      <t xml:space="preserve"> </t>
    </r>
    <r>
      <rPr>
        <sz val="10"/>
        <rFont val="Dotum"/>
      </rPr>
      <t>생리식염주사액</t>
    </r>
    <r>
      <rPr>
        <sz val="10"/>
        <rFont val="Arial"/>
        <family val="2"/>
      </rPr>
      <t xml:space="preserve"> 1000ml [1000ml]</t>
    </r>
  </si>
  <si>
    <r>
      <rPr>
        <sz val="10"/>
        <rFont val="Dotum"/>
      </rPr>
      <t>중외</t>
    </r>
    <r>
      <rPr>
        <sz val="10"/>
        <rFont val="Arial"/>
        <family val="2"/>
      </rPr>
      <t>50</t>
    </r>
    <r>
      <rPr>
        <sz val="10"/>
        <rFont val="Dotum"/>
      </rPr>
      <t>％포도당주사액</t>
    </r>
    <r>
      <rPr>
        <sz val="10"/>
        <rFont val="Arial"/>
        <family val="2"/>
      </rPr>
      <t xml:space="preserve"> [100ml]</t>
    </r>
  </si>
  <si>
    <r>
      <rPr>
        <sz val="10"/>
        <rFont val="Dotum"/>
      </rPr>
      <t>에포카인프리필드주</t>
    </r>
    <r>
      <rPr>
        <sz val="10"/>
        <rFont val="Arial"/>
        <family val="2"/>
      </rPr>
      <t>10000IU/mL(0.8mL) [10000IU/mL(0.8mL)]</t>
    </r>
  </si>
  <si>
    <r>
      <rPr>
        <sz val="10"/>
        <rFont val="Dotum"/>
      </rPr>
      <t>에포카인프리필드주</t>
    </r>
    <r>
      <rPr>
        <sz val="10"/>
        <rFont val="Arial"/>
        <family val="2"/>
      </rPr>
      <t>10000IU/mL(0.6mL) [10000IU/mL(0.6mL)]</t>
    </r>
  </si>
  <si>
    <r>
      <rPr>
        <sz val="10"/>
        <rFont val="Dotum"/>
      </rPr>
      <t>에포카인프리필드주</t>
    </r>
    <r>
      <rPr>
        <sz val="10"/>
        <rFont val="Arial"/>
        <family val="2"/>
      </rPr>
      <t>10000IU/mL(0.4mL) [10000IU/mL(0.4mL)]</t>
    </r>
  </si>
  <si>
    <r>
      <rPr>
        <sz val="10"/>
        <rFont val="Dotum"/>
      </rPr>
      <t>에포카인프리필드주</t>
    </r>
    <r>
      <rPr>
        <sz val="10"/>
        <rFont val="Arial"/>
        <family val="2"/>
      </rPr>
      <t>2000IU/0.5mL(6SYR)</t>
    </r>
  </si>
  <si>
    <r>
      <rPr>
        <b/>
        <sz val="10"/>
        <color rgb="FFFF0000"/>
        <rFont val="Dotum"/>
      </rPr>
      <t>청아한방병원</t>
    </r>
  </si>
  <si>
    <r>
      <t>2</t>
    </r>
    <r>
      <rPr>
        <sz val="10"/>
        <rFont val="Dotum"/>
        <family val="3"/>
        <charset val="129"/>
      </rPr>
      <t>월</t>
    </r>
    <phoneticPr fontId="7" type="noConversion"/>
  </si>
  <si>
    <r>
      <t>1</t>
    </r>
    <r>
      <rPr>
        <sz val="10"/>
        <rFont val="Dotum"/>
        <family val="3"/>
        <charset val="129"/>
      </rPr>
      <t>월</t>
    </r>
    <phoneticPr fontId="7" type="noConversion"/>
  </si>
  <si>
    <r>
      <t>(</t>
    </r>
    <r>
      <rPr>
        <sz val="10"/>
        <rFont val="Dotum"/>
      </rPr>
      <t>주</t>
    </r>
    <r>
      <rPr>
        <sz val="10"/>
        <rFont val="Arial"/>
        <family val="2"/>
      </rPr>
      <t>)</t>
    </r>
    <r>
      <rPr>
        <sz val="10"/>
        <rFont val="Dotum"/>
      </rPr>
      <t>오륜메디칼</t>
    </r>
  </si>
  <si>
    <r>
      <t>(</t>
    </r>
    <r>
      <rPr>
        <b/>
        <sz val="10"/>
        <color rgb="FFFF0000"/>
        <rFont val="Dotum"/>
      </rPr>
      <t>주</t>
    </r>
    <r>
      <rPr>
        <b/>
        <sz val="10"/>
        <color rgb="FFFF0000"/>
        <rFont val="Arial"/>
        <family val="2"/>
      </rPr>
      <t>)</t>
    </r>
    <r>
      <rPr>
        <b/>
        <sz val="10"/>
        <color rgb="FFFF0000"/>
        <rFont val="Dotum"/>
      </rPr>
      <t>오륜메디칼</t>
    </r>
  </si>
  <si>
    <r>
      <rPr>
        <sz val="10"/>
        <rFont val="Dotum"/>
      </rPr>
      <t>주사용후탄</t>
    </r>
    <r>
      <rPr>
        <sz val="10"/>
        <rFont val="Arial"/>
        <family val="2"/>
      </rPr>
      <t>10mg 10V</t>
    </r>
  </si>
  <si>
    <r>
      <rPr>
        <sz val="10"/>
        <rFont val="Dotum"/>
      </rPr>
      <t>광림약품</t>
    </r>
    <r>
      <rPr>
        <sz val="10"/>
        <rFont val="Arial"/>
        <family val="2"/>
      </rPr>
      <t>(</t>
    </r>
    <r>
      <rPr>
        <sz val="10"/>
        <rFont val="Dotum"/>
      </rPr>
      <t>주</t>
    </r>
    <r>
      <rPr>
        <sz val="10"/>
        <rFont val="Arial"/>
        <family val="2"/>
      </rPr>
      <t>)</t>
    </r>
  </si>
  <si>
    <r>
      <rPr>
        <sz val="10"/>
        <rFont val="Dotum"/>
      </rPr>
      <t>주사용후탄</t>
    </r>
    <r>
      <rPr>
        <sz val="10"/>
        <rFont val="Arial"/>
        <family val="2"/>
      </rPr>
      <t>50mg 10V</t>
    </r>
  </si>
  <si>
    <r>
      <rPr>
        <b/>
        <sz val="10"/>
        <color rgb="FFFF0000"/>
        <rFont val="Dotum"/>
      </rPr>
      <t>광림약품</t>
    </r>
    <r>
      <rPr>
        <b/>
        <sz val="10"/>
        <color rgb="FFFF0000"/>
        <rFont val="Arial"/>
        <family val="2"/>
      </rPr>
      <t>(</t>
    </r>
    <r>
      <rPr>
        <b/>
        <sz val="10"/>
        <color rgb="FFFF0000"/>
        <rFont val="Dotum"/>
      </rPr>
      <t>주</t>
    </r>
    <r>
      <rPr>
        <b/>
        <sz val="10"/>
        <color rgb="FFFF0000"/>
        <rFont val="Arial"/>
        <family val="2"/>
      </rPr>
      <t>)</t>
    </r>
  </si>
  <si>
    <r>
      <rPr>
        <sz val="10"/>
        <rFont val="Dotum"/>
        <family val="3"/>
        <charset val="129"/>
      </rPr>
      <t>파리칼주</t>
    </r>
    <r>
      <rPr>
        <sz val="10"/>
        <rFont val="Arial"/>
        <family val="2"/>
      </rPr>
      <t>1mg *10A</t>
    </r>
    <phoneticPr fontId="7" type="noConversion"/>
  </si>
  <si>
    <r>
      <rPr>
        <sz val="10"/>
        <rFont val="맑은 고딕"/>
        <family val="2"/>
        <charset val="129"/>
      </rPr>
      <t>신성약품㈜</t>
    </r>
    <phoneticPr fontId="7" type="noConversion"/>
  </si>
  <si>
    <r>
      <t xml:space="preserve">2026/02  </t>
    </r>
    <r>
      <rPr>
        <b/>
        <sz val="10"/>
        <color rgb="FFFF0000"/>
        <rFont val="Dotum"/>
        <family val="3"/>
        <charset val="129"/>
      </rPr>
      <t>계</t>
    </r>
  </si>
  <si>
    <r>
      <rPr>
        <b/>
        <sz val="10"/>
        <color rgb="FFFF0000"/>
        <rFont val="맑은 고딕"/>
        <family val="2"/>
        <charset val="129"/>
      </rPr>
      <t>신성약품㈜</t>
    </r>
    <phoneticPr fontId="7" type="noConversion"/>
  </si>
  <si>
    <r>
      <rPr>
        <sz val="10"/>
        <rFont val="Dotum"/>
      </rPr>
      <t>파시톨주</t>
    </r>
    <r>
      <rPr>
        <sz val="10"/>
        <rFont val="Arial"/>
        <family val="2"/>
      </rPr>
      <t xml:space="preserve"> 1ml * 10V [10VIAL]</t>
    </r>
  </si>
  <si>
    <r>
      <rPr>
        <sz val="10"/>
        <rFont val="Dotum"/>
      </rPr>
      <t>인천유니온약품</t>
    </r>
  </si>
  <si>
    <r>
      <rPr>
        <b/>
        <sz val="10"/>
        <color rgb="FFFF0000"/>
        <rFont val="Dotum"/>
      </rPr>
      <t>인천유니온약품</t>
    </r>
  </si>
  <si>
    <r>
      <rPr>
        <sz val="10"/>
        <rFont val="Dotum"/>
      </rPr>
      <t>주식회사</t>
    </r>
    <r>
      <rPr>
        <sz val="10"/>
        <rFont val="Arial"/>
        <family val="2"/>
      </rPr>
      <t xml:space="preserve"> </t>
    </r>
    <r>
      <rPr>
        <sz val="10"/>
        <rFont val="Dotum"/>
      </rPr>
      <t>에스앤비팜</t>
    </r>
  </si>
  <si>
    <r>
      <rPr>
        <b/>
        <sz val="10"/>
        <color rgb="FFFF0000"/>
        <rFont val="Dotum"/>
      </rPr>
      <t>주식회사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Dotum"/>
      </rPr>
      <t>에스앤비팜</t>
    </r>
  </si>
  <si>
    <r>
      <rPr>
        <sz val="10"/>
        <rFont val="Dotum"/>
      </rPr>
      <t>유한회사</t>
    </r>
    <r>
      <rPr>
        <sz val="10"/>
        <rFont val="Arial"/>
        <family val="2"/>
      </rPr>
      <t xml:space="preserve"> </t>
    </r>
    <r>
      <rPr>
        <sz val="10"/>
        <rFont val="Dotum"/>
      </rPr>
      <t>노바헬스테크</t>
    </r>
  </si>
  <si>
    <r>
      <rPr>
        <b/>
        <sz val="10"/>
        <color rgb="FFFF0000"/>
        <rFont val="Dotum"/>
      </rPr>
      <t>유한회사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Dotum"/>
      </rPr>
      <t>노바헬스테크</t>
    </r>
  </si>
  <si>
    <r>
      <rPr>
        <sz val="10"/>
        <rFont val="Dotum"/>
      </rPr>
      <t>강남베드로병원</t>
    </r>
  </si>
  <si>
    <r>
      <t>1</t>
    </r>
    <r>
      <rPr>
        <sz val="10"/>
        <rFont val="Dotum"/>
        <family val="3"/>
        <charset val="129"/>
      </rPr>
      <t>월</t>
    </r>
  </si>
  <si>
    <r>
      <rPr>
        <sz val="10"/>
        <rFont val="Dotum"/>
      </rPr>
      <t>혈액회로</t>
    </r>
    <r>
      <rPr>
        <sz val="10"/>
        <rFont val="Arial"/>
        <family val="2"/>
      </rPr>
      <t xml:space="preserve"> (A006DR/V601DR) HDF [24EA/BOX]</t>
    </r>
  </si>
  <si>
    <r>
      <rPr>
        <b/>
        <sz val="10"/>
        <color rgb="FFFF0000"/>
        <rFont val="Dotum"/>
      </rPr>
      <t>강남베드로병원</t>
    </r>
  </si>
  <si>
    <r>
      <rPr>
        <sz val="10"/>
        <rFont val="Dotum"/>
      </rPr>
      <t>메나탄주</t>
    </r>
    <r>
      <rPr>
        <sz val="10"/>
        <rFont val="Arial"/>
        <family val="2"/>
      </rPr>
      <t xml:space="preserve"> 50mg 10V</t>
    </r>
  </si>
  <si>
    <r>
      <t>(</t>
    </r>
    <r>
      <rPr>
        <sz val="10"/>
        <rFont val="Dotum"/>
      </rPr>
      <t>주</t>
    </r>
    <r>
      <rPr>
        <sz val="10"/>
        <rFont val="Arial"/>
        <family val="2"/>
      </rPr>
      <t>)</t>
    </r>
    <r>
      <rPr>
        <sz val="10"/>
        <rFont val="Dotum"/>
      </rPr>
      <t>수창</t>
    </r>
  </si>
  <si>
    <r>
      <t>(</t>
    </r>
    <r>
      <rPr>
        <b/>
        <sz val="10"/>
        <color rgb="FFFF0000"/>
        <rFont val="Dotum"/>
      </rPr>
      <t>주</t>
    </r>
    <r>
      <rPr>
        <b/>
        <sz val="10"/>
        <color rgb="FFFF0000"/>
        <rFont val="Arial"/>
        <family val="2"/>
      </rPr>
      <t>)</t>
    </r>
    <r>
      <rPr>
        <b/>
        <sz val="10"/>
        <color rgb="FFFF0000"/>
        <rFont val="Dotum"/>
      </rPr>
      <t>수창</t>
    </r>
  </si>
  <si>
    <r>
      <t>SNU</t>
    </r>
    <r>
      <rPr>
        <b/>
        <sz val="10"/>
        <color rgb="FFFF0000"/>
        <rFont val="Dotum"/>
      </rPr>
      <t>하버드내과</t>
    </r>
    <phoneticPr fontId="7" type="noConversion"/>
  </si>
  <si>
    <r>
      <rPr>
        <b/>
        <sz val="10"/>
        <color rgb="FFFF0000"/>
        <rFont val="Dotum"/>
      </rPr>
      <t>삼성은내과</t>
    </r>
    <phoneticPr fontId="7" type="noConversion"/>
  </si>
  <si>
    <r>
      <t xml:space="preserve">2026/02  </t>
    </r>
    <r>
      <rPr>
        <b/>
        <sz val="10"/>
        <color rgb="FFFF0000"/>
        <rFont val="Dotum"/>
      </rPr>
      <t>계</t>
    </r>
    <phoneticPr fontId="7" type="noConversion"/>
  </si>
  <si>
    <r>
      <rPr>
        <sz val="10"/>
        <rFont val="Dotum"/>
        <family val="3"/>
      </rPr>
      <t>헤모시스에이지엘액</t>
    </r>
    <r>
      <rPr>
        <sz val="10"/>
        <rFont val="Arial"/>
        <family val="2"/>
      </rPr>
      <t xml:space="preserve"> 5.5L [5.5L]</t>
    </r>
  </si>
  <si>
    <r>
      <t>(</t>
    </r>
    <r>
      <rPr>
        <sz val="10"/>
        <rFont val="Calibri"/>
        <family val="2"/>
      </rPr>
      <t>주</t>
    </r>
    <r>
      <rPr>
        <sz val="10"/>
        <rFont val="Arial"/>
        <family val="2"/>
      </rPr>
      <t>)</t>
    </r>
    <r>
      <rPr>
        <sz val="10"/>
        <rFont val="Calibri"/>
        <family val="2"/>
      </rPr>
      <t>우리약품</t>
    </r>
  </si>
  <si>
    <r>
      <rPr>
        <sz val="10"/>
        <rFont val="Dotum"/>
        <family val="3"/>
      </rPr>
      <t>헤모시스에이지액</t>
    </r>
    <r>
      <rPr>
        <sz val="10"/>
        <rFont val="Arial"/>
        <family val="2"/>
      </rPr>
      <t xml:space="preserve"> 5.5L [5.5L]</t>
    </r>
  </si>
  <si>
    <r>
      <t>(</t>
    </r>
    <r>
      <rPr>
        <b/>
        <sz val="10"/>
        <color rgb="FFFF0000"/>
        <rFont val="Calibri"/>
        <family val="2"/>
      </rPr>
      <t>주</t>
    </r>
    <r>
      <rPr>
        <b/>
        <sz val="10"/>
        <color rgb="FFFF0000"/>
        <rFont val="Arial"/>
        <family val="2"/>
      </rPr>
      <t>)</t>
    </r>
    <r>
      <rPr>
        <b/>
        <sz val="10"/>
        <color rgb="FFFF0000"/>
        <rFont val="Calibri"/>
        <family val="2"/>
      </rPr>
      <t>우리약품</t>
    </r>
  </si>
  <si>
    <r>
      <rPr>
        <b/>
        <sz val="10"/>
        <color rgb="FFFF0000"/>
        <rFont val="돋움"/>
        <family val="2"/>
        <charset val="129"/>
      </rPr>
      <t>박정희내과</t>
    </r>
    <phoneticPr fontId="7" type="noConversion"/>
  </si>
  <si>
    <r>
      <rPr>
        <sz val="10"/>
        <rFont val="돋움"/>
        <family val="2"/>
        <charset val="129"/>
      </rPr>
      <t>동수원병원</t>
    </r>
    <phoneticPr fontId="7" type="noConversion"/>
  </si>
  <si>
    <r>
      <rPr>
        <b/>
        <sz val="10"/>
        <color rgb="FFFF0000"/>
        <rFont val="돋움"/>
        <family val="2"/>
        <charset val="129"/>
      </rPr>
      <t>동수원병원</t>
    </r>
    <phoneticPr fontId="7" type="noConversion"/>
  </si>
  <si>
    <r>
      <rPr>
        <sz val="10"/>
        <rFont val="Dotum"/>
      </rPr>
      <t>연세</t>
    </r>
    <r>
      <rPr>
        <sz val="10"/>
        <rFont val="Arial"/>
        <family val="2"/>
      </rPr>
      <t xml:space="preserve"> </t>
    </r>
    <r>
      <rPr>
        <sz val="10"/>
        <rFont val="Dotum"/>
      </rPr>
      <t>수</t>
    </r>
    <r>
      <rPr>
        <sz val="10"/>
        <rFont val="Arial"/>
        <family val="2"/>
      </rPr>
      <t xml:space="preserve"> </t>
    </r>
    <r>
      <rPr>
        <sz val="10"/>
        <rFont val="Dotum"/>
      </rPr>
      <t>요양병원</t>
    </r>
  </si>
  <si>
    <r>
      <rPr>
        <sz val="10"/>
        <rFont val="Dotum"/>
      </rPr>
      <t>생물</t>
    </r>
    <r>
      <rPr>
        <sz val="10"/>
        <rFont val="Arial"/>
        <family val="2"/>
      </rPr>
      <t>]</t>
    </r>
    <r>
      <rPr>
        <sz val="10"/>
        <rFont val="Dotum"/>
      </rPr>
      <t>마운자로프리필드펜주</t>
    </r>
    <r>
      <rPr>
        <sz val="10"/>
        <rFont val="Arial"/>
        <family val="2"/>
      </rPr>
      <t>5mg/4PEN</t>
    </r>
  </si>
  <si>
    <r>
      <rPr>
        <sz val="10"/>
        <rFont val="Dotum"/>
      </rPr>
      <t>프라이즈피부과의원</t>
    </r>
  </si>
  <si>
    <r>
      <rPr>
        <b/>
        <sz val="10"/>
        <color rgb="FFFF0000"/>
        <rFont val="Dotum"/>
      </rPr>
      <t>연세한울내과</t>
    </r>
    <phoneticPr fontId="7" type="noConversion"/>
  </si>
  <si>
    <r>
      <rPr>
        <b/>
        <sz val="10"/>
        <color rgb="FFFF0000"/>
        <rFont val="Dotum"/>
      </rPr>
      <t>연세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Dotum"/>
      </rPr>
      <t>수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Dotum"/>
      </rPr>
      <t>요양병원</t>
    </r>
  </si>
  <si>
    <t>프라이즈피부과의원</t>
    <phoneticPr fontId="7" type="noConversion"/>
  </si>
  <si>
    <r>
      <rPr>
        <sz val="10"/>
        <rFont val="Dotum"/>
      </rPr>
      <t>연세</t>
    </r>
    <r>
      <rPr>
        <sz val="10"/>
        <rFont val="Arial"/>
        <family val="2"/>
      </rPr>
      <t xml:space="preserve"> </t>
    </r>
    <r>
      <rPr>
        <sz val="10"/>
        <rFont val="Dotum"/>
      </rPr>
      <t>수</t>
    </r>
    <r>
      <rPr>
        <sz val="10"/>
        <rFont val="Arial"/>
        <family val="2"/>
      </rPr>
      <t xml:space="preserve"> </t>
    </r>
    <r>
      <rPr>
        <sz val="10"/>
        <rFont val="Dotum"/>
      </rPr>
      <t>요양병원</t>
    </r>
    <phoneticPr fontId="7" type="noConversion"/>
  </si>
  <si>
    <r>
      <rPr>
        <b/>
        <sz val="10"/>
        <color rgb="FFFF0000"/>
        <rFont val="맑은 고딕"/>
        <family val="2"/>
        <charset val="129"/>
      </rPr>
      <t>연세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맑은 고딕"/>
        <family val="2"/>
        <charset val="129"/>
      </rPr>
      <t>수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맑은 고딕"/>
        <family val="2"/>
        <charset val="129"/>
      </rPr>
      <t>요양병원</t>
    </r>
    <phoneticPr fontId="7" type="noConversion"/>
  </si>
  <si>
    <r>
      <rPr>
        <sz val="10"/>
        <rFont val="Dotum"/>
      </rPr>
      <t>트리메디칼</t>
    </r>
    <r>
      <rPr>
        <sz val="10"/>
        <rFont val="Arial"/>
        <family val="2"/>
      </rPr>
      <t xml:space="preserve"> </t>
    </r>
    <r>
      <rPr>
        <sz val="10"/>
        <rFont val="Dotum"/>
      </rPr>
      <t>주식회사</t>
    </r>
    <phoneticPr fontId="7" type="noConversion"/>
  </si>
  <si>
    <r>
      <rPr>
        <b/>
        <sz val="10"/>
        <color rgb="FFFF0000"/>
        <rFont val="맑은 고딕"/>
        <family val="2"/>
        <charset val="129"/>
      </rPr>
      <t>트리메디칼</t>
    </r>
    <r>
      <rPr>
        <b/>
        <sz val="10"/>
        <color rgb="FFFF0000"/>
        <rFont val="Arial"/>
        <family val="2"/>
      </rPr>
      <t xml:space="preserve"> </t>
    </r>
    <r>
      <rPr>
        <b/>
        <sz val="10"/>
        <color rgb="FFFF0000"/>
        <rFont val="맑은 고딕"/>
        <family val="2"/>
        <charset val="129"/>
      </rPr>
      <t>주식회사</t>
    </r>
    <phoneticPr fontId="7" type="noConversion"/>
  </si>
  <si>
    <t>연세준내과</t>
    <phoneticPr fontId="7" type="noConversion"/>
  </si>
  <si>
    <t>행 레이블</t>
  </si>
  <si>
    <t>SNU하버드내과</t>
  </si>
  <si>
    <t>동수원병원</t>
  </si>
  <si>
    <t>박애의료재단</t>
  </si>
  <si>
    <t>박정희내과</t>
  </si>
  <si>
    <t>삼성은내과</t>
  </si>
  <si>
    <t>신성약품㈜</t>
  </si>
  <si>
    <t>연세김</t>
  </si>
  <si>
    <t>연세진내과</t>
  </si>
  <si>
    <t>연세한울내과</t>
  </si>
  <si>
    <t>합계 : 매출 이익</t>
  </si>
  <si>
    <t>열 레이블</t>
  </si>
  <si>
    <t>이익금</t>
    <phoneticPr fontId="7" type="noConversion"/>
  </si>
  <si>
    <t>이익률</t>
    <phoneticPr fontId="7" type="noConversion"/>
  </si>
  <si>
    <t>매출</t>
    <phoneticPr fontId="7" type="noConversion"/>
  </si>
  <si>
    <t>매입</t>
    <phoneticPr fontId="7" type="noConversion"/>
  </si>
  <si>
    <t>매출 이익금</t>
    <phoneticPr fontId="7" type="noConversion"/>
  </si>
  <si>
    <t>매출 이익률</t>
    <phoneticPr fontId="7" type="noConversion"/>
  </si>
  <si>
    <r>
      <t>1</t>
    </r>
    <r>
      <rPr>
        <b/>
        <sz val="10"/>
        <color rgb="FFFF0000"/>
        <rFont val="맑은 고딕"/>
        <family val="2"/>
        <charset val="129"/>
      </rPr>
      <t>월</t>
    </r>
    <phoneticPr fontId="7" type="noConversion"/>
  </si>
  <si>
    <r>
      <t>2</t>
    </r>
    <r>
      <rPr>
        <b/>
        <sz val="10"/>
        <color rgb="FFFF0000"/>
        <rFont val="맑은 고딕"/>
        <family val="2"/>
        <charset val="129"/>
      </rPr>
      <t>월</t>
    </r>
    <phoneticPr fontId="7" type="noConversion"/>
  </si>
  <si>
    <t>한상민</t>
  </si>
  <si>
    <t>한상민</t>
    <phoneticPr fontId="7" type="noConversion"/>
  </si>
  <si>
    <t>김경환</t>
  </si>
  <si>
    <t>김경환</t>
    <phoneticPr fontId="7" type="noConversion"/>
  </si>
  <si>
    <t>손지영</t>
  </si>
  <si>
    <t>손지영</t>
    <phoneticPr fontId="7" type="noConversion"/>
  </si>
  <si>
    <t>평균 : 매출 이익률</t>
  </si>
  <si>
    <r>
      <t>[</t>
    </r>
    <r>
      <rPr>
        <sz val="11"/>
        <rFont val="맑은 고딕"/>
        <family val="3"/>
        <charset val="129"/>
      </rPr>
      <t>기준 : 공급가액</t>
    </r>
    <r>
      <rPr>
        <sz val="11"/>
        <rFont val="Calibri"/>
        <family val="3"/>
      </rPr>
      <t>]</t>
    </r>
    <phoneticPr fontId="7" type="noConversion"/>
  </si>
  <si>
    <t>거래처ID</t>
  </si>
  <si>
    <t>거래처명</t>
  </si>
  <si>
    <t>담당자</t>
  </si>
  <si>
    <t>품목ID</t>
  </si>
  <si>
    <t>품목명(규격)</t>
  </si>
  <si>
    <t>(생.냉)팬포틴프리필드/2000IU/6관</t>
  </si>
  <si>
    <t>(생.냉)팬포틴프리필드/4000IU/6관</t>
  </si>
  <si>
    <t>R/O유지보수비</t>
  </si>
  <si>
    <t>그린헥시딘스틱스왑액</t>
  </si>
  <si>
    <t>글리원정4mg 100T</t>
  </si>
  <si>
    <t>나파스타주50mg</t>
  </si>
  <si>
    <t>네스벨프리필드시린지주0.12μg/0.5mL [0.12μg/0.5mL]</t>
  </si>
  <si>
    <t>네스벨프리필드시린지주120μg/0.5mL [120μg/0.5mL]</t>
  </si>
  <si>
    <t>네스벨프리필드시린지주20μg/0.5mL [20μg/0.5mL]</t>
  </si>
  <si>
    <t>네스벨프리필드시린지주30μg/0.5mL [30μg/0.5mL]</t>
  </si>
  <si>
    <t>네스벨프리필드시린지주40μg/0.5mL [40μg/0.5mL]</t>
  </si>
  <si>
    <t>네스벨프리필드시린지주60μg/0.5mL [60μg/0.5mL]</t>
  </si>
  <si>
    <t>네스티칼현탁액 20mL*20P</t>
  </si>
  <si>
    <t>네스프 프리필드시린지 주 120/0.5mL [120/0.5mL]</t>
  </si>
  <si>
    <t>네오본주1ug 10A [1ug 10A]</t>
  </si>
  <si>
    <t>네오신정 [1000정]</t>
  </si>
  <si>
    <t>네프리솔(250ml/백) [250ml]</t>
  </si>
  <si>
    <t>대한디클로페낙주2ml [2ml]</t>
  </si>
  <si>
    <t>대한멸균생리식염수(생리식염주사액) [1000ML]</t>
  </si>
  <si>
    <t>대한멸균생리식염수100ml [100ML]</t>
  </si>
  <si>
    <t>대한생리식염주사액20ml [20ml]</t>
  </si>
  <si>
    <t>디에취덱스액 0.15％ 1호 [10L]</t>
  </si>
  <si>
    <t>디에취덱스액 0.1％</t>
  </si>
  <si>
    <t>디에취덱스액 0.1％ [10L]</t>
  </si>
  <si>
    <t>레날민정60mg 300T</t>
  </si>
  <si>
    <t>리나치올캡슐375mg/200C</t>
  </si>
  <si>
    <t>멀티빅2칼륨액5L_(5L)</t>
  </si>
  <si>
    <t>멀티빅4칼륨액5L_(5L)</t>
  </si>
  <si>
    <t>멀티빅무칼륨액_(5l)</t>
  </si>
  <si>
    <t>메나탄주 50mg 10V</t>
  </si>
  <si>
    <t>미쎄라프리필드주150mcg [0.3ml]</t>
  </si>
  <si>
    <t>베노훼럼주/5ml/5A [5ml/5A]</t>
  </si>
  <si>
    <t>본키연질캅셀0.25ug 100C</t>
  </si>
  <si>
    <t>생물]마운자로프리필드펜주2.5mg/4PEN</t>
  </si>
  <si>
    <t>생물]마운자로프리필드펜주5mg/4PEN</t>
  </si>
  <si>
    <t>세머원정 180T</t>
  </si>
  <si>
    <t>세비카정5/40 [28T]</t>
  </si>
  <si>
    <t>스토가정300T</t>
  </si>
  <si>
    <t>시그마트정5mg 500T [500T]</t>
  </si>
  <si>
    <t>암로맥스정5mg 100T [5mg/100T]</t>
  </si>
  <si>
    <t>애니펜정 [300mg 500T]</t>
  </si>
  <si>
    <t>에이에취디액 1호 A액 10L</t>
  </si>
  <si>
    <t>에이에취디액1호 B액 12.6L</t>
  </si>
  <si>
    <t>에취디졸비씨지에이액_(5.5L)</t>
  </si>
  <si>
    <t>에포시스10000IU/1mL [10000IU/1mL]</t>
  </si>
  <si>
    <t>에포시스3000IU/0.3mL [3000IU/0.3mL]</t>
  </si>
  <si>
    <t>에포시스6000IU/0.6mL [6000IU/0.6mL]</t>
  </si>
  <si>
    <t>에포카인프리필드주10000IU/mL(0.4mL) [10000IU/mL(0.4mL)]</t>
  </si>
  <si>
    <t>에포카인프리필드주10000IU/mL(0.6mL) [10000IU/mL(0.6mL)]</t>
  </si>
  <si>
    <t>에포카인프리필드주10000IU/mL(0.8mL) [10000IU/mL(0.8mL)]</t>
  </si>
  <si>
    <t>에포카인프리필드주10000IU/mL(1mL) [10000IU/mL(1mL)]</t>
  </si>
  <si>
    <t>에포카인프리필드주2000IU/0.5mL(6SYR)</t>
  </si>
  <si>
    <t>에포틴플러스프리필드주10000IU/0.4mL [0.4mL]</t>
  </si>
  <si>
    <t>에포틴플러스프리필드주10000IU/0.6mL [0.6mL]</t>
  </si>
  <si>
    <t>에포틴플러스프리필드주10000IU/0.8mL [0.8mL]</t>
  </si>
  <si>
    <t>에포틴플러스프리필드주10000IU/1mL [1mL]</t>
  </si>
  <si>
    <t>에포틴플러스프리필드주2000IU/0.5mL [0.5mL]</t>
  </si>
  <si>
    <t>유한세파졸린주사1000mg [1000mg]</t>
  </si>
  <si>
    <t>이노엔0.9％ 생리식염주사액 1000ml [1000ml]</t>
  </si>
  <si>
    <t>이노엔반코마이신염산염주 500mg/10ml</t>
  </si>
  <si>
    <t>자니딥정 100T [100T]</t>
  </si>
  <si>
    <t>젠벨라정800mg 180T [180T]</t>
  </si>
  <si>
    <t>주사용후탄10mg 10V</t>
  </si>
  <si>
    <t>주사용후탄50mg 10V</t>
  </si>
  <si>
    <t>중외50％포도당주사액 [100ml]</t>
  </si>
  <si>
    <t>중외헤파린나트륨주사액1000IU_(20KI.U/20mL) [20/mL/병]</t>
  </si>
  <si>
    <t>카두라엑스엘서방정4mg(비아트리스) 100T</t>
  </si>
  <si>
    <t>카슈트현탁액 [20ml]</t>
  </si>
  <si>
    <t>칼레그나정25mg 100정</t>
  </si>
  <si>
    <t>케이바이카트761 5.5L</t>
  </si>
  <si>
    <t>코푸정(한외) 1000T</t>
  </si>
  <si>
    <t>콩코르정2.5mg(머크) 30T</t>
  </si>
  <si>
    <t>크린세이프피에이액(과아세트산액) [5L/1통]</t>
  </si>
  <si>
    <t>트리캅 C-50</t>
  </si>
  <si>
    <t>트리캅 C-50 [C-50]</t>
  </si>
  <si>
    <t>파리칼주1mg *10A</t>
  </si>
  <si>
    <t>파비라졸정10mg 28T [10mg/28T]</t>
  </si>
  <si>
    <t>파시톨주 1ml * 10V [10VIAL]</t>
  </si>
  <si>
    <t>페브릭정80mg 100T</t>
  </si>
  <si>
    <t>펜다운캡슐100mg 200T [200C]</t>
  </si>
  <si>
    <t>포리부틴정150mg 500T</t>
  </si>
  <si>
    <t>플라메드정100T</t>
  </si>
  <si>
    <t>헤모시스비액 12.6L [12.6L]</t>
  </si>
  <si>
    <t>헤모시스비액 6.3L [6.3L]</t>
  </si>
  <si>
    <t>헤모시스에이지액 10L</t>
  </si>
  <si>
    <t>헤모시스에이지액 10L [10L]</t>
  </si>
  <si>
    <t>헤모시스에이지액 5.5L [5.5L]</t>
  </si>
  <si>
    <t>헤모시스에이지엘액 5.5L [5.5L]</t>
  </si>
  <si>
    <t>헤모크린액</t>
  </si>
  <si>
    <t>헤파린주 [25000IU/5ml/10A]</t>
  </si>
  <si>
    <t>혈액투석여과기 EK-13H [24EA/BOX]</t>
  </si>
  <si>
    <t>혈액투석여과기 EK-15H [24EA/1BOX]</t>
  </si>
  <si>
    <t>혈액투석여과기 EK-17H [24EA/1BOX]</t>
  </si>
  <si>
    <t>혈액회로 (A004DR/V600DR) HD [24EA/BOX]</t>
  </si>
  <si>
    <t>혈액회로 (A004DR/V600DR) HDF [24EA/BOX]</t>
  </si>
  <si>
    <t>혈액회로 (A006DR/V601DR) HDF [24EA/BOX]</t>
  </si>
  <si>
    <t>혈액회로 A008DR(K) HDF [HDF 보액라인]</t>
  </si>
  <si>
    <t>No</t>
  </si>
  <si>
    <t>월</t>
  </si>
  <si>
    <t>수량</t>
  </si>
  <si>
    <t>매출단가</t>
  </si>
  <si>
    <t>매출가</t>
  </si>
  <si>
    <t>매입단가</t>
  </si>
  <si>
    <t>매입가</t>
  </si>
  <si>
    <t>매출이익</t>
  </si>
  <si>
    <t>매출이익률</t>
  </si>
  <si>
    <t>1월</t>
  </si>
  <si>
    <t>2월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</si>
</sst>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0.0%"/>
  </numFmts>
  <fonts count="26">
    <font>
      <sz val="11"/>
      <name val="Calibri"/>
    </font>
    <font>
      <sz val="11"/>
      <name val="Calibri"/>
      <family val="2"/>
    </font>
    <font>
      <sz val="11"/>
      <name val="Calibri"/>
      <family val="2"/>
    </font>
    <font>
      <b/>
      <sz val="10"/>
      <name val="Arial"/>
      <family val="2"/>
    </font>
    <font>
      <sz val="10"/>
      <name val="Calibri"/>
      <family val="2"/>
    </font>
    <font>
      <b/>
      <sz val="10"/>
      <name val="Dotum"/>
    </font>
    <font>
      <sz val="10"/>
      <name val="Dotum"/>
    </font>
    <font>
      <sz val="8"/>
      <name val="돋움"/>
      <family val="3"/>
      <charset val="129"/>
    </font>
    <font>
      <sz val="10"/>
      <name val="Dotum"/>
      <family val="3"/>
    </font>
    <font>
      <sz val="10"/>
      <name val="돋움"/>
      <family val="2"/>
      <charset val="129"/>
    </font>
    <font>
      <sz val="10"/>
      <name val="맑은 고딕"/>
      <family val="2"/>
      <charset val="129"/>
    </font>
    <font>
      <sz val="10"/>
      <name val="Dotum"/>
      <family val="3"/>
      <charset val="129"/>
    </font>
    <font>
      <b/>
      <sz val="10"/>
      <color rgb="FFFF0000"/>
      <name val="Dotum"/>
    </font>
    <font>
      <b/>
      <sz val="10"/>
      <color rgb="FFFF0000"/>
      <name val="Dotum"/>
      <family val="3"/>
    </font>
    <font>
      <b/>
      <sz val="10"/>
      <color rgb="FFFF0000"/>
      <name val="Calibri"/>
      <family val="2"/>
    </font>
    <font>
      <b/>
      <sz val="10"/>
      <color rgb="FFFF0000"/>
      <name val="돋움"/>
      <family val="2"/>
      <charset val="129"/>
    </font>
    <font>
      <b/>
      <sz val="10"/>
      <color rgb="FFFF0000"/>
      <name val="맑은 고딕"/>
      <family val="2"/>
      <charset val="129"/>
    </font>
    <font>
      <b/>
      <sz val="10"/>
      <color rgb="FFFF0000"/>
      <name val="Dotum"/>
      <family val="3"/>
      <charset val="129"/>
    </font>
    <font>
      <sz val="10"/>
      <name val="Arial"/>
      <family val="2"/>
    </font>
    <font>
      <b/>
      <sz val="10"/>
      <color rgb="FFFF0000"/>
      <name val="Arial"/>
      <family val="2"/>
    </font>
    <font>
      <b/>
      <sz val="10"/>
      <color rgb="FFFF0000"/>
      <name val="Arial"/>
      <family val="2"/>
      <charset val="129"/>
    </font>
    <font>
      <sz val="11"/>
      <color theme="6" tint="0.39997558519241921"/>
      <name val="Calibri"/>
      <family val="2"/>
    </font>
    <font>
      <sz val="11"/>
      <name val="맑은 고딕"/>
      <family val="3"/>
      <charset val="129"/>
    </font>
    <font>
      <sz val="11"/>
      <name val="Calibri"/>
      <family val="3"/>
    </font>
    <font>
      <b/>
      <sz val="11"/>
      <color rgb="FFFFFFFF"/>
      <name val="Calibri"/>
      <family val="2"/>
    </font>
    <font>
      <sz val="8"/>
      <name val="BatangChe"/>
      <family val="3"/>
      <charset val="129"/>
    </font>
  </fonts>
  <fills count="9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4472C4"/>
        <bgColor indexed="64"/>
      </patternFill>
    </fill>
  </fills>
  <borders count="28">
    <border>
      <left/>
      <right/>
      <top/>
      <bottom/>
      <diagonal/>
    </border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/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/>
      <bottom style="thin">
        <color rgb="FF999999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/>
      <right style="thin">
        <color rgb="FF999999"/>
      </right>
      <top style="thin">
        <color rgb="FF999999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999999"/>
      </left>
      <right/>
      <top/>
      <bottom style="thin">
        <color rgb="FF999999"/>
      </bottom>
      <diagonal/>
    </border>
    <border>
      <left/>
      <right style="thin">
        <color rgb="FF999999"/>
      </right>
      <top/>
      <bottom style="thin">
        <color rgb="FF999999"/>
      </bottom>
      <diagonal/>
    </border>
    <border>
      <left style="thin">
        <color rgb="FF999999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999999"/>
      </left>
      <right style="thin">
        <color rgb="FF999999"/>
      </right>
      <top style="thin">
        <color indexed="64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indexed="64"/>
      </bottom>
      <diagonal/>
    </border>
    <border>
      <left style="thin">
        <color rgb="FF999999"/>
      </left>
      <right/>
      <top style="thin">
        <color indexed="64"/>
      </top>
      <bottom style="thin">
        <color rgb="FF999999"/>
      </bottom>
      <diagonal/>
    </border>
    <border>
      <left style="thin">
        <color rgb="FF999999"/>
      </left>
      <right/>
      <top style="thin">
        <color rgb="FF999999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0" fontId="1" fillId="0" borderId="7"/>
  </cellStyleXfs>
  <cellXfs count="160">
    <xf numFmtId="0" fontId="0" fillId="0" borderId="0" xfId="0"/>
    <xf numFmtId="0" fontId="10" fillId="0" borderId="0" xfId="0" applyFont="1"/>
    <xf numFmtId="0" fontId="3" fillId="0" borderId="1" xfId="0" applyFont="1" applyBorder="1" applyAlignment="1">
      <alignment horizontal="center" vertical="center"/>
    </xf>
    <xf numFmtId="0" fontId="6" fillId="0" borderId="9" xfId="0" applyFont="1" applyBorder="1" applyAlignment="1">
      <alignment horizontal="left" vertical="center" wrapText="1"/>
    </xf>
    <xf numFmtId="0" fontId="10" fillId="0" borderId="8" xfId="0" applyFont="1" applyBorder="1"/>
    <xf numFmtId="0" fontId="18" fillId="0" borderId="0" xfId="0" applyFont="1"/>
    <xf numFmtId="41" fontId="18" fillId="0" borderId="0" xfId="1" applyFont="1" applyAlignment="1"/>
    <xf numFmtId="0" fontId="3" fillId="0" borderId="2" xfId="0" applyFont="1" applyBorder="1" applyAlignment="1">
      <alignment horizontal="center" vertical="center" wrapText="1"/>
    </xf>
    <xf numFmtId="41" fontId="3" fillId="0" borderId="6" xfId="1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8" fillId="0" borderId="6" xfId="0" applyFont="1" applyBorder="1" applyAlignment="1">
      <alignment horizontal="left" vertical="center" wrapText="1"/>
    </xf>
    <xf numFmtId="3" fontId="18" fillId="0" borderId="6" xfId="0" applyNumberFormat="1" applyFont="1" applyBorder="1" applyAlignment="1">
      <alignment horizontal="right" vertical="center" wrapText="1"/>
    </xf>
    <xf numFmtId="41" fontId="18" fillId="0" borderId="6" xfId="1" applyFont="1" applyBorder="1" applyAlignment="1">
      <alignment horizontal="right" vertical="center" wrapText="1"/>
    </xf>
    <xf numFmtId="9" fontId="18" fillId="0" borderId="6" xfId="2" applyFont="1" applyBorder="1" applyAlignment="1">
      <alignment horizontal="right" vertical="center" wrapText="1"/>
    </xf>
    <xf numFmtId="0" fontId="18" fillId="0" borderId="4" xfId="0" applyFont="1" applyBorder="1" applyAlignment="1">
      <alignment horizontal="left" vertical="center" wrapText="1"/>
    </xf>
    <xf numFmtId="0" fontId="18" fillId="0" borderId="9" xfId="0" applyFont="1" applyBorder="1" applyAlignment="1">
      <alignment horizontal="center" vertical="center" wrapText="1"/>
    </xf>
    <xf numFmtId="0" fontId="18" fillId="0" borderId="9" xfId="0" applyFont="1" applyBorder="1" applyAlignment="1">
      <alignment horizontal="left" vertical="center" wrapText="1"/>
    </xf>
    <xf numFmtId="3" fontId="18" fillId="0" borderId="9" xfId="0" applyNumberFormat="1" applyFont="1" applyBorder="1" applyAlignment="1">
      <alignment horizontal="right" vertical="center" wrapText="1"/>
    </xf>
    <xf numFmtId="41" fontId="18" fillId="0" borderId="9" xfId="1" applyFont="1" applyBorder="1" applyAlignment="1">
      <alignment horizontal="right" vertical="center" wrapText="1"/>
    </xf>
    <xf numFmtId="9" fontId="18" fillId="0" borderId="9" xfId="2" applyFont="1" applyBorder="1" applyAlignment="1">
      <alignment horizontal="right" vertical="center" wrapText="1"/>
    </xf>
    <xf numFmtId="0" fontId="19" fillId="3" borderId="8" xfId="0" applyFont="1" applyFill="1" applyBorder="1" applyAlignment="1">
      <alignment horizontal="left" vertical="center" wrapText="1"/>
    </xf>
    <xf numFmtId="3" fontId="19" fillId="3" borderId="8" xfId="0" applyNumberFormat="1" applyFont="1" applyFill="1" applyBorder="1" applyAlignment="1">
      <alignment horizontal="right" vertical="center" wrapText="1"/>
    </xf>
    <xf numFmtId="41" fontId="19" fillId="3" borderId="8" xfId="1" applyFont="1" applyFill="1" applyBorder="1" applyAlignment="1">
      <alignment horizontal="center" vertical="center" wrapText="1"/>
    </xf>
    <xf numFmtId="41" fontId="19" fillId="3" borderId="8" xfId="1" applyFont="1" applyFill="1" applyBorder="1" applyAlignment="1">
      <alignment horizontal="right" vertical="center" wrapText="1"/>
    </xf>
    <xf numFmtId="9" fontId="19" fillId="3" borderId="8" xfId="2" applyFont="1" applyFill="1" applyBorder="1" applyAlignment="1">
      <alignment horizontal="right" vertical="center" wrapText="1"/>
    </xf>
    <xf numFmtId="0" fontId="18" fillId="0" borderId="12" xfId="0" applyFont="1" applyBorder="1" applyAlignment="1">
      <alignment horizontal="center" vertical="center" wrapText="1"/>
    </xf>
    <xf numFmtId="0" fontId="18" fillId="0" borderId="12" xfId="0" applyFont="1" applyBorder="1" applyAlignment="1">
      <alignment horizontal="left" vertical="center" wrapText="1"/>
    </xf>
    <xf numFmtId="3" fontId="18" fillId="0" borderId="12" xfId="0" applyNumberFormat="1" applyFont="1" applyBorder="1" applyAlignment="1">
      <alignment horizontal="right" vertical="center" wrapText="1"/>
    </xf>
    <xf numFmtId="41" fontId="18" fillId="0" borderId="12" xfId="1" applyFont="1" applyBorder="1" applyAlignment="1">
      <alignment horizontal="right" vertical="center" wrapText="1"/>
    </xf>
    <xf numFmtId="9" fontId="18" fillId="0" borderId="12" xfId="2" applyFont="1" applyBorder="1" applyAlignment="1">
      <alignment horizontal="right" vertical="center" wrapText="1"/>
    </xf>
    <xf numFmtId="3" fontId="18" fillId="0" borderId="5" xfId="0" applyNumberFormat="1" applyFont="1" applyBorder="1" applyAlignment="1">
      <alignment horizontal="right" vertical="center" wrapText="1"/>
    </xf>
    <xf numFmtId="41" fontId="18" fillId="0" borderId="7" xfId="1" applyFont="1" applyBorder="1" applyAlignment="1"/>
    <xf numFmtId="41" fontId="19" fillId="3" borderId="8" xfId="1" applyFont="1" applyFill="1" applyBorder="1" applyAlignment="1"/>
    <xf numFmtId="3" fontId="18" fillId="0" borderId="18" xfId="0" applyNumberFormat="1" applyFont="1" applyBorder="1" applyAlignment="1">
      <alignment horizontal="right" vertical="center" wrapText="1"/>
    </xf>
    <xf numFmtId="41" fontId="18" fillId="0" borderId="13" xfId="1" applyFont="1" applyBorder="1" applyAlignment="1">
      <alignment horizontal="right" vertical="center" wrapText="1"/>
    </xf>
    <xf numFmtId="3" fontId="18" fillId="0" borderId="13" xfId="0" applyNumberFormat="1" applyFont="1" applyBorder="1" applyAlignment="1">
      <alignment horizontal="right" vertical="center" wrapText="1"/>
    </xf>
    <xf numFmtId="9" fontId="18" fillId="0" borderId="13" xfId="2" applyFont="1" applyBorder="1" applyAlignment="1">
      <alignment horizontal="right" vertical="center" wrapText="1"/>
    </xf>
    <xf numFmtId="0" fontId="18" fillId="0" borderId="19" xfId="0" applyFont="1" applyBorder="1" applyAlignment="1">
      <alignment horizontal="left" vertical="center" wrapText="1"/>
    </xf>
    <xf numFmtId="3" fontId="18" fillId="0" borderId="10" xfId="0" applyNumberFormat="1" applyFont="1" applyBorder="1" applyAlignment="1">
      <alignment horizontal="right" vertical="center" wrapText="1"/>
    </xf>
    <xf numFmtId="41" fontId="18" fillId="0" borderId="8" xfId="1" applyFont="1" applyBorder="1" applyAlignment="1">
      <alignment horizontal="right" vertical="center" wrapText="1"/>
    </xf>
    <xf numFmtId="3" fontId="18" fillId="0" borderId="8" xfId="0" applyNumberFormat="1" applyFont="1" applyBorder="1" applyAlignment="1">
      <alignment horizontal="right" vertical="center" wrapText="1"/>
    </xf>
    <xf numFmtId="9" fontId="18" fillId="0" borderId="8" xfId="2" applyFont="1" applyBorder="1" applyAlignment="1">
      <alignment horizontal="right" vertical="center" wrapText="1"/>
    </xf>
    <xf numFmtId="0" fontId="18" fillId="0" borderId="11" xfId="0" applyFont="1" applyBorder="1" applyAlignment="1">
      <alignment horizontal="left" vertical="center" wrapText="1"/>
    </xf>
    <xf numFmtId="3" fontId="18" fillId="0" borderId="15" xfId="0" applyNumberFormat="1" applyFont="1" applyBorder="1" applyAlignment="1">
      <alignment horizontal="right" vertical="center" wrapText="1"/>
    </xf>
    <xf numFmtId="41" fontId="18" fillId="0" borderId="17" xfId="1" applyFont="1" applyBorder="1" applyAlignment="1">
      <alignment horizontal="right" vertical="center" wrapText="1"/>
    </xf>
    <xf numFmtId="3" fontId="18" fillId="0" borderId="17" xfId="0" applyNumberFormat="1" applyFont="1" applyBorder="1" applyAlignment="1">
      <alignment horizontal="right" vertical="center" wrapText="1"/>
    </xf>
    <xf numFmtId="9" fontId="18" fillId="0" borderId="17" xfId="2" applyFont="1" applyBorder="1" applyAlignment="1">
      <alignment horizontal="right" vertical="center" wrapText="1"/>
    </xf>
    <xf numFmtId="0" fontId="18" fillId="0" borderId="16" xfId="0" applyFont="1" applyBorder="1" applyAlignment="1">
      <alignment horizontal="left" vertical="center" wrapText="1"/>
    </xf>
    <xf numFmtId="41" fontId="18" fillId="0" borderId="13" xfId="1" applyFont="1" applyBorder="1" applyAlignment="1"/>
    <xf numFmtId="41" fontId="18" fillId="0" borderId="8" xfId="1" applyFont="1" applyBorder="1" applyAlignment="1"/>
    <xf numFmtId="0" fontId="18" fillId="0" borderId="14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left" vertical="center" wrapText="1"/>
    </xf>
    <xf numFmtId="3" fontId="18" fillId="0" borderId="14" xfId="0" applyNumberFormat="1" applyFont="1" applyBorder="1" applyAlignment="1">
      <alignment horizontal="right" vertical="center" wrapText="1"/>
    </xf>
    <xf numFmtId="9" fontId="18" fillId="0" borderId="7" xfId="2" applyFont="1" applyBorder="1" applyAlignment="1"/>
    <xf numFmtId="9" fontId="19" fillId="3" borderId="8" xfId="2" applyFont="1" applyFill="1" applyBorder="1" applyAlignment="1"/>
    <xf numFmtId="10" fontId="19" fillId="3" borderId="8" xfId="0" applyNumberFormat="1" applyFont="1" applyFill="1" applyBorder="1"/>
    <xf numFmtId="0" fontId="19" fillId="3" borderId="8" xfId="0" applyFont="1" applyFill="1" applyBorder="1"/>
    <xf numFmtId="41" fontId="18" fillId="0" borderId="14" xfId="1" applyFont="1" applyBorder="1" applyAlignment="1">
      <alignment horizontal="right" vertical="center" wrapText="1"/>
    </xf>
    <xf numFmtId="9" fontId="18" fillId="0" borderId="14" xfId="2" applyFont="1" applyBorder="1" applyAlignment="1">
      <alignment horizontal="right" vertical="center" wrapText="1"/>
    </xf>
    <xf numFmtId="0" fontId="18" fillId="0" borderId="6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left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8" xfId="0" applyFont="1" applyBorder="1" applyAlignment="1">
      <alignment horizontal="left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left" vertical="center" wrapText="1"/>
    </xf>
    <xf numFmtId="41" fontId="18" fillId="0" borderId="17" xfId="1" applyFont="1" applyBorder="1" applyAlignment="1"/>
    <xf numFmtId="0" fontId="18" fillId="0" borderId="7" xfId="0" applyFont="1" applyBorder="1" applyAlignment="1">
      <alignment horizontal="center"/>
    </xf>
    <xf numFmtId="0" fontId="18" fillId="0" borderId="12" xfId="0" applyFont="1" applyBorder="1" applyAlignment="1">
      <alignment horizontal="left" vertical="center"/>
    </xf>
    <xf numFmtId="3" fontId="18" fillId="0" borderId="12" xfId="0" applyNumberFormat="1" applyFont="1" applyBorder="1" applyAlignment="1">
      <alignment horizontal="right" vertical="center"/>
    </xf>
    <xf numFmtId="0" fontId="18" fillId="0" borderId="7" xfId="0" applyFont="1" applyBorder="1"/>
    <xf numFmtId="0" fontId="18" fillId="0" borderId="0" xfId="0" applyFont="1" applyAlignment="1">
      <alignment horizontal="center"/>
    </xf>
    <xf numFmtId="0" fontId="18" fillId="0" borderId="6" xfId="0" applyFont="1" applyBorder="1" applyAlignment="1">
      <alignment horizontal="left" vertical="center"/>
    </xf>
    <xf numFmtId="3" fontId="18" fillId="0" borderId="6" xfId="0" applyNumberFormat="1" applyFont="1" applyBorder="1" applyAlignment="1">
      <alignment horizontal="right" vertical="center"/>
    </xf>
    <xf numFmtId="0" fontId="18" fillId="0" borderId="9" xfId="0" applyFont="1" applyBorder="1" applyAlignment="1">
      <alignment horizontal="left" vertical="center"/>
    </xf>
    <xf numFmtId="3" fontId="18" fillId="0" borderId="9" xfId="0" applyNumberFormat="1" applyFont="1" applyBorder="1" applyAlignment="1">
      <alignment horizontal="right" vertical="center"/>
    </xf>
    <xf numFmtId="3" fontId="19" fillId="3" borderId="8" xfId="0" applyNumberFormat="1" applyFont="1" applyFill="1" applyBorder="1" applyAlignment="1">
      <alignment vertical="center" wrapText="1"/>
    </xf>
    <xf numFmtId="3" fontId="19" fillId="3" borderId="8" xfId="0" applyNumberFormat="1" applyFont="1" applyFill="1" applyBorder="1" applyAlignment="1">
      <alignment horizontal="right" vertical="center"/>
    </xf>
    <xf numFmtId="3" fontId="18" fillId="0" borderId="14" xfId="0" applyNumberFormat="1" applyFont="1" applyBorder="1" applyAlignment="1">
      <alignment horizontal="right" vertical="center"/>
    </xf>
    <xf numFmtId="17" fontId="18" fillId="0" borderId="12" xfId="3" applyNumberFormat="1" applyFont="1" applyBorder="1" applyAlignment="1">
      <alignment horizontal="center" vertical="center"/>
    </xf>
    <xf numFmtId="17" fontId="18" fillId="0" borderId="6" xfId="3" applyNumberFormat="1" applyFont="1" applyBorder="1" applyAlignment="1">
      <alignment horizontal="center" vertical="center"/>
    </xf>
    <xf numFmtId="17" fontId="18" fillId="0" borderId="9" xfId="3" applyNumberFormat="1" applyFont="1" applyBorder="1" applyAlignment="1">
      <alignment horizontal="center" vertical="center"/>
    </xf>
    <xf numFmtId="17" fontId="18" fillId="0" borderId="14" xfId="3" applyNumberFormat="1" applyFont="1" applyBorder="1" applyAlignment="1">
      <alignment horizontal="center" vertical="center"/>
    </xf>
    <xf numFmtId="0" fontId="18" fillId="0" borderId="14" xfId="3" applyFont="1" applyBorder="1" applyAlignment="1">
      <alignment horizontal="center" vertical="center"/>
    </xf>
    <xf numFmtId="3" fontId="18" fillId="0" borderId="14" xfId="3" applyNumberFormat="1" applyFont="1" applyBorder="1" applyAlignment="1">
      <alignment horizontal="right" vertical="center"/>
    </xf>
    <xf numFmtId="3" fontId="19" fillId="3" borderId="8" xfId="3" applyNumberFormat="1" applyFont="1" applyFill="1" applyBorder="1" applyAlignment="1">
      <alignment horizontal="right" vertical="center"/>
    </xf>
    <xf numFmtId="17" fontId="18" fillId="0" borderId="20" xfId="3" applyNumberFormat="1" applyFont="1" applyBorder="1" applyAlignment="1">
      <alignment horizontal="center" vertical="center"/>
    </xf>
    <xf numFmtId="0" fontId="18" fillId="0" borderId="21" xfId="0" applyFont="1" applyBorder="1" applyAlignment="1">
      <alignment horizontal="left" vertical="center" wrapText="1"/>
    </xf>
    <xf numFmtId="3" fontId="18" fillId="0" borderId="21" xfId="0" applyNumberFormat="1" applyFont="1" applyBorder="1" applyAlignment="1">
      <alignment horizontal="right" vertical="center" wrapText="1"/>
    </xf>
    <xf numFmtId="41" fontId="18" fillId="0" borderId="21" xfId="1" applyFont="1" applyBorder="1" applyAlignment="1"/>
    <xf numFmtId="9" fontId="18" fillId="0" borderId="21" xfId="2" applyFont="1" applyBorder="1" applyAlignment="1">
      <alignment horizontal="right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left" vertical="center" wrapText="1"/>
    </xf>
    <xf numFmtId="3" fontId="18" fillId="0" borderId="22" xfId="0" applyNumberFormat="1" applyFont="1" applyBorder="1" applyAlignment="1">
      <alignment horizontal="right" vertical="center" wrapText="1"/>
    </xf>
    <xf numFmtId="41" fontId="18" fillId="0" borderId="22" xfId="1" applyFont="1" applyBorder="1" applyAlignment="1"/>
    <xf numFmtId="9" fontId="18" fillId="0" borderId="22" xfId="2" applyFont="1" applyBorder="1" applyAlignment="1"/>
    <xf numFmtId="0" fontId="18" fillId="0" borderId="24" xfId="0" applyFont="1" applyBorder="1"/>
    <xf numFmtId="0" fontId="18" fillId="0" borderId="23" xfId="0" applyFont="1" applyBorder="1" applyAlignment="1">
      <alignment horizontal="center" vertical="center" wrapText="1"/>
    </xf>
    <xf numFmtId="0" fontId="18" fillId="0" borderId="23" xfId="0" applyFont="1" applyBorder="1" applyAlignment="1">
      <alignment horizontal="left" vertical="center" wrapText="1"/>
    </xf>
    <xf numFmtId="3" fontId="18" fillId="0" borderId="23" xfId="0" applyNumberFormat="1" applyFont="1" applyBorder="1" applyAlignment="1">
      <alignment horizontal="right" vertical="center" wrapText="1"/>
    </xf>
    <xf numFmtId="41" fontId="18" fillId="0" borderId="23" xfId="1" applyFont="1" applyBorder="1" applyAlignment="1"/>
    <xf numFmtId="9" fontId="18" fillId="0" borderId="23" xfId="2" applyFont="1" applyBorder="1" applyAlignment="1"/>
    <xf numFmtId="0" fontId="18" fillId="0" borderId="25" xfId="0" applyFont="1" applyBorder="1"/>
    <xf numFmtId="41" fontId="18" fillId="0" borderId="6" xfId="1" applyFont="1" applyBorder="1" applyAlignment="1"/>
    <xf numFmtId="9" fontId="18" fillId="0" borderId="6" xfId="2" applyFont="1" applyBorder="1" applyAlignment="1"/>
    <xf numFmtId="0" fontId="16" fillId="3" borderId="8" xfId="0" applyFont="1" applyFill="1" applyBorder="1" applyAlignment="1">
      <alignment horizontal="left" vertical="center" wrapText="1"/>
    </xf>
    <xf numFmtId="0" fontId="20" fillId="3" borderId="8" xfId="0" applyFont="1" applyFill="1" applyBorder="1" applyAlignment="1">
      <alignment horizontal="left" vertical="center" wrapText="1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41" fontId="18" fillId="0" borderId="21" xfId="1" applyFont="1" applyBorder="1" applyAlignment="1">
      <alignment horizontal="right" vertical="center" wrapText="1"/>
    </xf>
    <xf numFmtId="9" fontId="0" fillId="0" borderId="0" xfId="0" applyNumberFormat="1"/>
    <xf numFmtId="176" fontId="0" fillId="0" borderId="0" xfId="0" applyNumberFormat="1"/>
    <xf numFmtId="41" fontId="18" fillId="0" borderId="0" xfId="0" applyNumberFormat="1" applyFont="1"/>
    <xf numFmtId="43" fontId="18" fillId="0" borderId="0" xfId="0" applyNumberFormat="1" applyFont="1"/>
    <xf numFmtId="3" fontId="18" fillId="2" borderId="6" xfId="0" applyNumberFormat="1" applyFont="1" applyFill="1" applyBorder="1" applyAlignment="1">
      <alignment horizontal="right" vertical="center"/>
    </xf>
    <xf numFmtId="3" fontId="18" fillId="2" borderId="9" xfId="0" applyNumberFormat="1" applyFont="1" applyFill="1" applyBorder="1" applyAlignment="1">
      <alignment horizontal="right" vertical="center"/>
    </xf>
    <xf numFmtId="9" fontId="18" fillId="0" borderId="0" xfId="2" applyFont="1" applyAlignment="1"/>
    <xf numFmtId="0" fontId="10" fillId="0" borderId="0" xfId="0" applyFont="1" applyAlignment="1">
      <alignment horizontal="center"/>
    </xf>
    <xf numFmtId="0" fontId="19" fillId="0" borderId="7" xfId="0" applyFont="1" applyBorder="1" applyAlignment="1">
      <alignment horizontal="center" vertical="center"/>
    </xf>
    <xf numFmtId="0" fontId="19" fillId="0" borderId="7" xfId="0" applyFont="1" applyBorder="1" applyAlignment="1">
      <alignment horizontal="left" vertical="center" wrapText="1"/>
    </xf>
    <xf numFmtId="3" fontId="19" fillId="0" borderId="7" xfId="0" applyNumberFormat="1" applyFont="1" applyBorder="1" applyAlignment="1">
      <alignment horizontal="right" vertical="center" wrapText="1"/>
    </xf>
    <xf numFmtId="41" fontId="19" fillId="0" borderId="7" xfId="1" applyFont="1" applyFill="1" applyBorder="1" applyAlignment="1"/>
    <xf numFmtId="41" fontId="19" fillId="0" borderId="7" xfId="1" applyFont="1" applyFill="1" applyBorder="1" applyAlignment="1">
      <alignment horizontal="center"/>
    </xf>
    <xf numFmtId="9" fontId="19" fillId="0" borderId="7" xfId="2" applyFont="1" applyFill="1" applyBorder="1" applyAlignment="1">
      <alignment horizontal="center"/>
    </xf>
    <xf numFmtId="0" fontId="20" fillId="0" borderId="7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center"/>
    </xf>
    <xf numFmtId="41" fontId="10" fillId="0" borderId="8" xfId="1" applyFont="1" applyBorder="1" applyAlignment="1"/>
    <xf numFmtId="41" fontId="18" fillId="0" borderId="8" xfId="0" applyNumberFormat="1" applyFont="1" applyBorder="1"/>
    <xf numFmtId="9" fontId="18" fillId="0" borderId="8" xfId="1" applyNumberFormat="1" applyFont="1" applyBorder="1" applyAlignment="1"/>
    <xf numFmtId="17" fontId="10" fillId="0" borderId="0" xfId="0" applyNumberFormat="1" applyFont="1"/>
    <xf numFmtId="0" fontId="10" fillId="4" borderId="0" xfId="0" applyFont="1" applyFill="1"/>
    <xf numFmtId="0" fontId="18" fillId="4" borderId="0" xfId="0" applyFont="1" applyFill="1" applyAlignment="1">
      <alignment horizontal="center"/>
    </xf>
    <xf numFmtId="0" fontId="10" fillId="5" borderId="0" xfId="0" applyFont="1" applyFill="1"/>
    <xf numFmtId="0" fontId="18" fillId="5" borderId="0" xfId="0" applyFont="1" applyFill="1" applyAlignment="1">
      <alignment horizontal="center"/>
    </xf>
    <xf numFmtId="0" fontId="10" fillId="6" borderId="0" xfId="0" applyFont="1" applyFill="1"/>
    <xf numFmtId="41" fontId="18" fillId="6" borderId="0" xfId="1" applyFont="1" applyFill="1" applyAlignment="1">
      <alignment horizontal="center"/>
    </xf>
    <xf numFmtId="41" fontId="0" fillId="0" borderId="0" xfId="1" applyFont="1" applyAlignment="1"/>
    <xf numFmtId="41" fontId="18" fillId="0" borderId="22" xfId="1" applyFont="1" applyBorder="1" applyAlignment="1">
      <alignment horizontal="right" vertical="center" wrapText="1"/>
    </xf>
    <xf numFmtId="41" fontId="18" fillId="0" borderId="23" xfId="1" applyFont="1" applyBorder="1" applyAlignment="1">
      <alignment horizontal="right" vertical="center" wrapText="1"/>
    </xf>
    <xf numFmtId="9" fontId="18" fillId="0" borderId="22" xfId="2" applyFont="1" applyBorder="1" applyAlignment="1">
      <alignment horizontal="right" vertical="center" wrapText="1"/>
    </xf>
    <xf numFmtId="9" fontId="18" fillId="0" borderId="23" xfId="2" applyFont="1" applyBorder="1" applyAlignment="1">
      <alignment horizontal="right" vertical="center" wrapText="1"/>
    </xf>
    <xf numFmtId="9" fontId="21" fillId="0" borderId="0" xfId="0" applyNumberFormat="1" applyFont="1"/>
    <xf numFmtId="0" fontId="10" fillId="7" borderId="8" xfId="0" applyFont="1" applyFill="1" applyBorder="1"/>
    <xf numFmtId="0" fontId="18" fillId="7" borderId="8" xfId="0" applyFont="1" applyFill="1" applyBorder="1" applyAlignment="1">
      <alignment horizontal="center"/>
    </xf>
    <xf numFmtId="9" fontId="18" fillId="0" borderId="8" xfId="2" applyFont="1" applyBorder="1" applyAlignment="1"/>
    <xf numFmtId="0" fontId="1" fillId="0" borderId="0" xfId="0" applyFont="1"/>
    <xf numFmtId="0" fontId="19" fillId="3" borderId="26" xfId="0" applyFont="1" applyFill="1" applyBorder="1" applyAlignment="1">
      <alignment horizontal="center" vertical="center"/>
    </xf>
    <xf numFmtId="0" fontId="19" fillId="3" borderId="2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left" vertical="center" wrapText="1"/>
    </xf>
    <xf numFmtId="0" fontId="19" fillId="3" borderId="8" xfId="3" applyFont="1" applyFill="1" applyBorder="1" applyAlignment="1">
      <alignment horizontal="center" vertical="center"/>
    </xf>
    <xf numFmtId="0" fontId="24" fillId="8" borderId="0" xfId="0" applyFont="1" applyFill="1" applyAlignment="1">
      <alignment horizontal="center"/>
    </xf>
    <xf numFmtId="1" fontId="0" fillId="0" borderId="0" xfId="0" applyNumberFormat="1"/>
    <xf numFmtId="0" fontId="24" fillId="8" borderId="0" xfId="0" applyFont="1" applyFill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4">
    <cellStyle name="백분율" xfId="2" builtinId="5"/>
    <cellStyle name="쉼표 [0]" xfId="1" builtinId="6"/>
    <cellStyle name="표준" xfId="0" builtinId="0"/>
    <cellStyle name="표준 2" xfId="3" xr:uid="{E70E9E57-692F-4787-B550-498A1574251D}"/>
  </cellStyles>
  <dxfs count="6">
    <dxf>
      <font>
        <color theme="6" tint="0.39997558519241921"/>
      </font>
    </dxf>
    <dxf>
      <font>
        <color theme="6" tint="0.39997558519241921"/>
      </font>
    </dxf>
    <dxf>
      <font>
        <color theme="6" tint="0.39997558519241921"/>
      </font>
    </dxf>
    <dxf>
      <font>
        <color theme="6" tint="0.39997558519241921"/>
      </font>
    </dxf>
    <dxf>
      <font>
        <color theme="6" tint="0.39997558519241921"/>
      </font>
    </dxf>
    <dxf>
      <font>
        <color theme="6" tint="0.39997558519241921"/>
      </font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28575</xdr:colOff>
      <xdr:row>2</xdr:row>
      <xdr:rowOff>9525</xdr:rowOff>
    </xdr:from>
    <xdr:to>
      <xdr:col>8</xdr:col>
      <xdr:colOff>200025</xdr:colOff>
      <xdr:row>4</xdr:row>
      <xdr:rowOff>152400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CA1918AB-3F9B-1E85-94BE-25311B77F5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450" y="771525"/>
          <a:ext cx="3038475" cy="523875"/>
        </a:xfrm>
        <a:prstGeom prst="rect">
          <a:avLst/>
        </a:prstGeom>
        <a:solidFill>
          <a:schemeClr val="bg1"/>
        </a:solidFill>
      </xdr:spPr>
    </xdr:pic>
    <xdr:clientData/>
  </xdr:twoCellAnchor>
  <xdr:twoCellAnchor>
    <xdr:from>
      <xdr:col>4</xdr:col>
      <xdr:colOff>95250</xdr:colOff>
      <xdr:row>5</xdr:row>
      <xdr:rowOff>9525</xdr:rowOff>
    </xdr:from>
    <xdr:to>
      <xdr:col>5</xdr:col>
      <xdr:colOff>9524</xdr:colOff>
      <xdr:row>5</xdr:row>
      <xdr:rowOff>180975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AE8B8184-EB56-86D8-4D19-C7208B609B10}"/>
            </a:ext>
          </a:extLst>
        </xdr:cNvPr>
        <xdr:cNvSpPr/>
      </xdr:nvSpPr>
      <xdr:spPr>
        <a:xfrm>
          <a:off x="5629275" y="962025"/>
          <a:ext cx="1219199" cy="1714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n-US" altLang="ko-KR" sz="1100">
              <a:solidFill>
                <a:schemeClr val="tx1"/>
              </a:solidFill>
            </a:rPr>
            <a:t>18%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47625</xdr:colOff>
      <xdr:row>5</xdr:row>
      <xdr:rowOff>0</xdr:rowOff>
    </xdr:from>
    <xdr:to>
      <xdr:col>2</xdr:col>
      <xdr:colOff>1266824</xdr:colOff>
      <xdr:row>5</xdr:row>
      <xdr:rowOff>171450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78BB49FA-3B78-4877-9A24-FD80210CFDFA}"/>
            </a:ext>
          </a:extLst>
        </xdr:cNvPr>
        <xdr:cNvSpPr/>
      </xdr:nvSpPr>
      <xdr:spPr>
        <a:xfrm>
          <a:off x="3133725" y="952500"/>
          <a:ext cx="1219199" cy="1714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n-US" altLang="ko-KR" sz="1100">
              <a:solidFill>
                <a:schemeClr val="tx1"/>
              </a:solidFill>
            </a:rPr>
            <a:t>15%</a:t>
          </a:r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2</xdr:col>
      <xdr:colOff>38100</xdr:colOff>
      <xdr:row>17</xdr:row>
      <xdr:rowOff>9525</xdr:rowOff>
    </xdr:from>
    <xdr:to>
      <xdr:col>2</xdr:col>
      <xdr:colOff>1257299</xdr:colOff>
      <xdr:row>17</xdr:row>
      <xdr:rowOff>180975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C1431A63-8F07-4262-B84A-4C0A83ED01E2}"/>
            </a:ext>
          </a:extLst>
        </xdr:cNvPr>
        <xdr:cNvSpPr/>
      </xdr:nvSpPr>
      <xdr:spPr>
        <a:xfrm>
          <a:off x="3124200" y="3248025"/>
          <a:ext cx="1219199" cy="1714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n-US" altLang="ko-KR" sz="1100">
              <a:solidFill>
                <a:schemeClr val="tx1"/>
              </a:solidFill>
            </a:rPr>
            <a:t>18%</a:t>
          </a:r>
        </a:p>
      </xdr:txBody>
    </xdr:sp>
    <xdr:clientData/>
  </xdr:twoCellAnchor>
  <xdr:twoCellAnchor>
    <xdr:from>
      <xdr:col>4</xdr:col>
      <xdr:colOff>76200</xdr:colOff>
      <xdr:row>17</xdr:row>
      <xdr:rowOff>19050</xdr:rowOff>
    </xdr:from>
    <xdr:to>
      <xdr:col>4</xdr:col>
      <xdr:colOff>1295399</xdr:colOff>
      <xdr:row>18</xdr:row>
      <xdr:rowOff>0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1D39DF7B-92AA-4352-B41C-96B7D689B3C5}"/>
            </a:ext>
          </a:extLst>
        </xdr:cNvPr>
        <xdr:cNvSpPr/>
      </xdr:nvSpPr>
      <xdr:spPr>
        <a:xfrm>
          <a:off x="5610225" y="3257550"/>
          <a:ext cx="1219199" cy="1714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n-US" altLang="ko-KR" sz="1100">
              <a:solidFill>
                <a:schemeClr val="tx1"/>
              </a:solidFill>
            </a:rPr>
            <a:t>20%</a:t>
          </a:r>
        </a:p>
      </xdr:txBody>
    </xdr:sp>
    <xdr:clientData/>
  </xdr:twoCellAnchor>
  <xdr:twoCellAnchor>
    <xdr:from>
      <xdr:col>4</xdr:col>
      <xdr:colOff>104775</xdr:colOff>
      <xdr:row>25</xdr:row>
      <xdr:rowOff>19050</xdr:rowOff>
    </xdr:from>
    <xdr:to>
      <xdr:col>4</xdr:col>
      <xdr:colOff>1295400</xdr:colOff>
      <xdr:row>25</xdr:row>
      <xdr:rowOff>171450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7D7B18D1-90E6-4830-84F7-84141FA9F21C}"/>
            </a:ext>
          </a:extLst>
        </xdr:cNvPr>
        <xdr:cNvSpPr/>
      </xdr:nvSpPr>
      <xdr:spPr>
        <a:xfrm>
          <a:off x="5638800" y="4781550"/>
          <a:ext cx="1190625" cy="15240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n-US" altLang="ko-KR" sz="1100">
              <a:solidFill>
                <a:schemeClr val="tx1"/>
              </a:solidFill>
            </a:rPr>
            <a:t>21%</a:t>
          </a:r>
        </a:p>
      </xdr:txBody>
    </xdr:sp>
    <xdr:clientData/>
  </xdr:twoCellAnchor>
  <xdr:twoCellAnchor>
    <xdr:from>
      <xdr:col>2</xdr:col>
      <xdr:colOff>152400</xdr:colOff>
      <xdr:row>25</xdr:row>
      <xdr:rowOff>19050</xdr:rowOff>
    </xdr:from>
    <xdr:to>
      <xdr:col>3</xdr:col>
      <xdr:colOff>66674</xdr:colOff>
      <xdr:row>26</xdr:row>
      <xdr:rowOff>0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33310C90-D78A-471F-95F1-DAF85EF8D8BA}"/>
            </a:ext>
          </a:extLst>
        </xdr:cNvPr>
        <xdr:cNvSpPr/>
      </xdr:nvSpPr>
      <xdr:spPr>
        <a:xfrm>
          <a:off x="3238500" y="4781550"/>
          <a:ext cx="1219199" cy="171450"/>
        </a:xfrm>
        <a:prstGeom prst="rect">
          <a:avLst/>
        </a:prstGeom>
        <a:solidFill>
          <a:schemeClr val="accent3">
            <a:lumMod val="40000"/>
            <a:lumOff val="60000"/>
          </a:schemeClr>
        </a:solidFill>
        <a:ln>
          <a:solidFill>
            <a:schemeClr val="bg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rtlCol="0" anchor="ctr"/>
        <a:lstStyle/>
        <a:p>
          <a:pPr algn="r"/>
          <a:r>
            <a:rPr lang="en-US" altLang="ko-KR" sz="1100">
              <a:solidFill>
                <a:schemeClr val="tx1"/>
              </a:solidFill>
            </a:rPr>
            <a:t>21%</a:t>
          </a:r>
        </a:p>
      </xdr:txBody>
    </xdr:sp>
    <xdr:clientData/>
  </xdr:twoCellAnchor>
  <xdr:twoCellAnchor editAs="oneCell">
    <xdr:from>
      <xdr:col>6</xdr:col>
      <xdr:colOff>28575</xdr:colOff>
      <xdr:row>5</xdr:row>
      <xdr:rowOff>28575</xdr:rowOff>
    </xdr:from>
    <xdr:to>
      <xdr:col>8</xdr:col>
      <xdr:colOff>200025</xdr:colOff>
      <xdr:row>8</xdr:row>
      <xdr:rowOff>76200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A53CED8E-F643-CEE1-6B8D-084143E24F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72450" y="1362075"/>
          <a:ext cx="3038475" cy="619125"/>
        </a:xfrm>
        <a:prstGeom prst="rect">
          <a:avLst/>
        </a:prstGeom>
        <a:solidFill>
          <a:schemeClr val="bg1"/>
        </a:solidFill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ENSMEDICAL" refreshedDate="46100.486414120373" createdVersion="8" refreshedVersion="8" minRefreshableVersion="3" recordCount="493" xr:uid="{E49098F4-526C-4942-A1F1-66FEEFAC3E22}">
  <cacheSource type="worksheet">
    <worksheetSource ref="A2:K495" sheet="판매현황"/>
  </cacheSource>
  <cacheFields count="11">
    <cacheField name="월" numFmtId="0">
      <sharedItems count="4">
        <s v="1월"/>
        <s v="2026/01  계"/>
        <s v="2월"/>
        <s v="2026/02  계"/>
      </sharedItems>
    </cacheField>
    <cacheField name="품목명(규격)" numFmtId="0">
      <sharedItems containsBlank="1"/>
    </cacheField>
    <cacheField name="수량" numFmtId="3">
      <sharedItems containsString="0" containsBlank="1" containsNumber="1" containsInteger="1" minValue="1" maxValue="17512"/>
    </cacheField>
    <cacheField name="매출 단가" numFmtId="3">
      <sharedItems containsString="0" containsBlank="1" containsNumber="1" minValue="450" maxValue="26307112"/>
    </cacheField>
    <cacheField name="매출가" numFmtId="3">
      <sharedItems containsSemiMixedTypes="0" containsString="0" containsNumber="1" containsInteger="1" minValue="8291" maxValue="81603182"/>
    </cacheField>
    <cacheField name="매입 단가" numFmtId="41">
      <sharedItems containsString="0" containsBlank="1" containsNumber="1" minValue="330" maxValue="20600000"/>
    </cacheField>
    <cacheField name="매입가" numFmtId="41">
      <sharedItems containsSemiMixedTypes="0" containsString="0" containsNumber="1" minValue="7636.363636363636" maxValue="70017439.999999985"/>
    </cacheField>
    <cacheField name="매출 이익" numFmtId="41">
      <sharedItems containsSemiMixedTypes="0" containsString="0" containsNumber="1" minValue="-864000" maxValue="11585742.000000015"/>
    </cacheField>
    <cacheField name="매출 이익률" numFmtId="0">
      <sharedItems containsSemiMixedTypes="0" containsString="0" containsNumber="1" minValue="-1.200007040022528" maxValue="0.61034367687699453"/>
    </cacheField>
    <cacheField name="거래처명" numFmtId="0">
      <sharedItems count="43">
        <s v="아산진내과의원"/>
        <s v="캐논코리아(주)"/>
        <s v="지엘루비콘(주)"/>
        <s v="분당서울대학교병원"/>
        <s v="(주)기영약품"/>
        <s v="남양약품(주)"/>
        <s v="아주대학교요양병원"/>
        <s v="연세진내과"/>
        <s v="서울대학교병원"/>
        <s v="삼성서울병원"/>
        <s v="강릉아산병원"/>
        <s v="서울특별시 보라매병원"/>
        <s v="맑은담 내과의원"/>
        <s v="나리약국"/>
        <s v="서현의료재단"/>
        <s v="박애의료재단"/>
        <s v="서울원내과"/>
        <s v="서울박내과"/>
        <s v="이한규내과"/>
        <s v="엘병원"/>
        <s v="연세김"/>
        <s v="연세윤내과"/>
        <s v="연세준내과"/>
        <s v="연세정성내과의원"/>
        <s v="위더스요양병원"/>
        <s v="청아한방병원"/>
        <s v="(주)오륜메디칼"/>
        <s v="광림약품(주)"/>
        <s v="신성약품㈜"/>
        <s v="인천유니온약품"/>
        <s v="주식회사 에스앤비팜"/>
        <s v="유한회사 노바헬스테크"/>
        <s v="강남베드로병원"/>
        <s v="(주)수창"/>
        <s v="SNU하버드내과"/>
        <s v="삼성은내과"/>
        <s v="(주)우리약품"/>
        <s v="박정희내과"/>
        <s v="동수원병원"/>
        <s v="연세 수 요양병원"/>
        <s v="트리메디칼 주식회사"/>
        <s v="프라이즈피부과의원"/>
        <s v="연세한울내과"/>
      </sharedItems>
    </cacheField>
    <cacheField name="담당자" numFmtId="0">
      <sharedItems count="3">
        <s v="한상민"/>
        <s v="김경환"/>
        <s v="손지영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3">
  <r>
    <x v="0"/>
    <s v="R/O유지보수비"/>
    <n v="1"/>
    <n v="500000"/>
    <n v="500000"/>
    <n v="454545"/>
    <n v="454545"/>
    <n v="45455"/>
    <n v="9.0910000000000005E-2"/>
    <x v="0"/>
    <x v="0"/>
  </r>
  <r>
    <x v="0"/>
    <s v="네스벨프리필드시린지주30μg/0.5mL [30μg/0.5mL]"/>
    <n v="50"/>
    <n v="17711"/>
    <n v="885545"/>
    <n v="13637"/>
    <n v="681850"/>
    <n v="203695"/>
    <n v="0.23002218972497163"/>
    <x v="0"/>
    <x v="0"/>
  </r>
  <r>
    <x v="0"/>
    <s v="네스벨프리필드시린지주40μg/0.5mL [40μg/0.5mL]"/>
    <n v="30"/>
    <n v="20659"/>
    <n v="619773"/>
    <n v="15907"/>
    <n v="477210"/>
    <n v="142563"/>
    <n v="0.23002454124332619"/>
    <x v="0"/>
    <x v="0"/>
  </r>
  <r>
    <x v="0"/>
    <s v="네스벨프리필드시린지주60μg/0.5mL [60μg/0.5mL]"/>
    <n v="60"/>
    <n v="25740"/>
    <n v="1544400"/>
    <n v="19820"/>
    <n v="1189200"/>
    <n v="355200"/>
    <n v="0.22999222999222999"/>
    <x v="0"/>
    <x v="0"/>
  </r>
  <r>
    <x v="0"/>
    <s v="네스벨프리필드시린지주0.12μg/0.5mL [0.12μg/0.5mL]"/>
    <n v="20"/>
    <n v="38846"/>
    <n v="776927"/>
    <n v="29911"/>
    <n v="598220"/>
    <n v="178707"/>
    <n v="0.23001774941532474"/>
    <x v="0"/>
    <x v="0"/>
  </r>
  <r>
    <x v="0"/>
    <s v="SOL-CART B -KR- SOD.BIC.-CARTR. 650GR [650G]"/>
    <n v="810"/>
    <n v="4964"/>
    <n v="4020545"/>
    <n v="3600"/>
    <n v="2916000"/>
    <n v="1104545"/>
    <n v="0.27472519272884649"/>
    <x v="0"/>
    <x v="0"/>
  </r>
  <r>
    <x v="0"/>
    <s v="DIACAP PRO HIPS 16 PS-DIALYSER, (R), AP [1.6H]"/>
    <n v="60"/>
    <n v="11500"/>
    <n v="690000"/>
    <n v="11300"/>
    <n v="678000"/>
    <n v="12000"/>
    <n v="1.7391304347826087E-2"/>
    <x v="0"/>
    <x v="0"/>
  </r>
  <r>
    <x v="0"/>
    <s v="BAIN TUBING SETS FOR HD"/>
    <n v="768"/>
    <n v="5100"/>
    <n v="3916800"/>
    <n v="3700"/>
    <n v="2841600"/>
    <n v="1075200"/>
    <n v="0.27450980392156865"/>
    <x v="0"/>
    <x v="0"/>
  </r>
  <r>
    <x v="0"/>
    <s v="XEVONTA DIALYZER HI 15, GAMMA [HI 15]"/>
    <n v="460"/>
    <n v="12000"/>
    <n v="5520000"/>
    <n v="11900"/>
    <n v="5474000"/>
    <n v="46000"/>
    <n v="8.3333333333333332E-3"/>
    <x v="0"/>
    <x v="0"/>
  </r>
  <r>
    <x v="0"/>
    <s v="XEVONTA DIALYZER HI 18, GAMMA [HI 18]"/>
    <n v="300"/>
    <n v="12000"/>
    <n v="3600000"/>
    <n v="11900"/>
    <n v="3570000"/>
    <n v="30000"/>
    <n v="8.3333333333333332E-3"/>
    <x v="0"/>
    <x v="0"/>
  </r>
  <r>
    <x v="0"/>
    <s v="트리캅 C-50 [C-50]"/>
    <n v="16"/>
    <n v="26000"/>
    <n v="416000"/>
    <n v="18000"/>
    <n v="288000"/>
    <n v="128000"/>
    <n v="0.30769230769230771"/>
    <x v="0"/>
    <x v="0"/>
  </r>
  <r>
    <x v="0"/>
    <s v="DIACAP ULTRA DF-ONLINE FILTER AP"/>
    <n v="6"/>
    <n v="70000"/>
    <n v="420000"/>
    <n v="55000"/>
    <n v="330000"/>
    <n v="90000"/>
    <n v="0.21428571428571427"/>
    <x v="0"/>
    <x v="0"/>
  </r>
  <r>
    <x v="0"/>
    <s v="디에취덱스액 0.1％ [10L]"/>
    <n v="270"/>
    <n v="11003"/>
    <n v="2970736"/>
    <n v="8362"/>
    <n v="2257740"/>
    <n v="712996"/>
    <n v="0.24000651690355521"/>
    <x v="0"/>
    <x v="0"/>
  </r>
  <r>
    <x v="0"/>
    <s v="디에취덱스액 0.15％ 1호 [10L]"/>
    <n v="62"/>
    <n v="10919"/>
    <n v="676984"/>
    <n v="8298"/>
    <n v="514476"/>
    <n v="162508"/>
    <n v="0.2400470321307446"/>
    <x v="0"/>
    <x v="0"/>
  </r>
  <r>
    <x v="1"/>
    <m/>
    <n v="2913"/>
    <n v="766442"/>
    <n v="26557710"/>
    <m/>
    <n v="22270841"/>
    <n v="4286869"/>
    <n v="0.1614171176656421"/>
    <x v="0"/>
    <x v="0"/>
  </r>
  <r>
    <x v="2"/>
    <s v="R/O유지보수비"/>
    <n v="1"/>
    <n v="500000"/>
    <n v="500000"/>
    <n v="454545"/>
    <n v="454545"/>
    <n v="45455"/>
    <n v="9.0910000000000005E-2"/>
    <x v="0"/>
    <x v="0"/>
  </r>
  <r>
    <x v="2"/>
    <s v="네스벨프리필드시린지주30μg/0.5mL [30μg/0.5mL]"/>
    <n v="80"/>
    <n v="17711"/>
    <n v="1416873"/>
    <n v="13637"/>
    <n v="1090960"/>
    <n v="325913"/>
    <n v="0.23002273315957042"/>
    <x v="0"/>
    <x v="0"/>
  </r>
  <r>
    <x v="2"/>
    <s v="네스벨프리필드시린지주40μg/0.5mL [40μg/0.5mL]"/>
    <n v="40"/>
    <n v="20659"/>
    <n v="826364"/>
    <n v="15907"/>
    <n v="636280"/>
    <n v="190084"/>
    <n v="0.23002454124332619"/>
    <x v="0"/>
    <x v="0"/>
  </r>
  <r>
    <x v="2"/>
    <s v="네스벨프리필드시린지주60μg/0.5mL [60μg/0.5mL]"/>
    <n v="35"/>
    <n v="25740"/>
    <n v="900900"/>
    <n v="19820"/>
    <n v="693700"/>
    <n v="207200"/>
    <n v="0.22999222999222999"/>
    <x v="0"/>
    <x v="0"/>
  </r>
  <r>
    <x v="2"/>
    <s v="네스벨프리필드시린지주0.12μg/0.5mL [0.12μg/0.5mL]"/>
    <n v="20"/>
    <n v="38846"/>
    <n v="776927"/>
    <n v="29911"/>
    <n v="598220"/>
    <n v="178707"/>
    <n v="0.23001774941532474"/>
    <x v="0"/>
    <x v="0"/>
  </r>
  <r>
    <x v="2"/>
    <s v="SOL-CART B -KR- SOD.BIC.-CARTR. 650GR [650G]"/>
    <n v="660"/>
    <n v="4964"/>
    <n v="3276000"/>
    <n v="3600"/>
    <n v="2376000"/>
    <n v="900000"/>
    <n v="0.27472527472527475"/>
    <x v="0"/>
    <x v="0"/>
  </r>
  <r>
    <x v="2"/>
    <s v="DIACAP PRO HIPS 16 PS-DIALYSER, (R), AP [1.6H]"/>
    <n v="80"/>
    <n v="11500"/>
    <n v="920000"/>
    <n v="11300"/>
    <n v="904000"/>
    <n v="16000"/>
    <n v="1.7391304347826087E-2"/>
    <x v="0"/>
    <x v="0"/>
  </r>
  <r>
    <x v="2"/>
    <s v="BAIN TUBING SETS FOR HD"/>
    <n v="624"/>
    <n v="5100"/>
    <n v="3182400"/>
    <n v="3700"/>
    <n v="2308800"/>
    <n v="873600"/>
    <n v="0.27450980392156865"/>
    <x v="0"/>
    <x v="0"/>
  </r>
  <r>
    <x v="2"/>
    <s v="XEVONTA DIALYZER HI 15, GAMMA [HI 15]"/>
    <n v="360"/>
    <n v="12000"/>
    <n v="4320000"/>
    <n v="11900"/>
    <n v="4284000"/>
    <n v="36000"/>
    <n v="8.3333333333333332E-3"/>
    <x v="0"/>
    <x v="0"/>
  </r>
  <r>
    <x v="2"/>
    <s v="XEVONTA DIALYZER HI 18, GAMMA [HI 18]"/>
    <n v="240"/>
    <n v="12000"/>
    <n v="2880000"/>
    <n v="11900"/>
    <n v="2856000"/>
    <n v="24000"/>
    <n v="8.3333333333333332E-3"/>
    <x v="0"/>
    <x v="0"/>
  </r>
  <r>
    <x v="2"/>
    <s v="트리캅 C-50 [C-50]"/>
    <n v="12"/>
    <n v="26000"/>
    <n v="312000"/>
    <n v="18000"/>
    <n v="216000"/>
    <n v="96000"/>
    <n v="0.30769230769230771"/>
    <x v="0"/>
    <x v="0"/>
  </r>
  <r>
    <x v="2"/>
    <s v="DIACAP ULTRA DF-ONLINE FILTER AP"/>
    <n v="6"/>
    <n v="70000"/>
    <n v="420000"/>
    <n v="55000"/>
    <n v="330000"/>
    <n v="90000"/>
    <n v="0.21428571428571427"/>
    <x v="0"/>
    <x v="0"/>
  </r>
  <r>
    <x v="2"/>
    <s v="디에취덱스액 0.1％ [10L]"/>
    <n v="215"/>
    <n v="11003"/>
    <n v="2365586"/>
    <n v="8362"/>
    <n v="1797830"/>
    <n v="567756"/>
    <n v="0.24000649310572517"/>
    <x v="0"/>
    <x v="0"/>
  </r>
  <r>
    <x v="2"/>
    <s v="디에취덱스액 0.15％ 1호 [10L]"/>
    <n v="40"/>
    <n v="10919"/>
    <n v="436764"/>
    <n v="8298"/>
    <n v="331920"/>
    <n v="104844"/>
    <n v="0.24004725664203094"/>
    <x v="0"/>
    <x v="0"/>
  </r>
  <r>
    <x v="2"/>
    <s v="ABPM CUFF, MEDIUM, LATEXFR.+AIR HOSE"/>
    <n v="5"/>
    <n v="22727"/>
    <n v="113636"/>
    <n v="50000"/>
    <n v="250000"/>
    <n v="-136364"/>
    <n v="-1.200007040022528"/>
    <x v="0"/>
    <x v="0"/>
  </r>
  <r>
    <x v="2"/>
    <s v="에포시스10000IU/1mL [10000IU/1mL]"/>
    <n v="3"/>
    <n v="103527"/>
    <n v="310582"/>
    <n v="51764"/>
    <n v="155292"/>
    <n v="155290"/>
    <n v="0.49999678023839117"/>
    <x v="0"/>
    <x v="0"/>
  </r>
  <r>
    <x v="2"/>
    <s v="에포시스6000IU/0.6mL [6000IU/0.6mL]"/>
    <n v="5"/>
    <n v="76647"/>
    <n v="383236"/>
    <n v="38324"/>
    <n v="191620"/>
    <n v="191616"/>
    <n v="0.49999478128359548"/>
    <x v="0"/>
    <x v="0"/>
  </r>
  <r>
    <x v="2"/>
    <s v="에포시스3000IU/0.3mL [3000IU/0.3mL]"/>
    <n v="1"/>
    <n v="54333"/>
    <n v="54333"/>
    <n v="27166"/>
    <n v="27166"/>
    <n v="27167"/>
    <n v="0.50000920251044489"/>
    <x v="0"/>
    <x v="0"/>
  </r>
  <r>
    <x v="3"/>
    <m/>
    <n v="2427"/>
    <n v="1023676"/>
    <n v="23395601"/>
    <m/>
    <n v="19502333"/>
    <n v="3893268"/>
    <n v="0.16641025806518073"/>
    <x v="0"/>
    <x v="0"/>
  </r>
  <r>
    <x v="0"/>
    <s v="DIACAP PRO HIPS 16 PS-DIALYSER, (R), AP [1.6H]"/>
    <n v="120"/>
    <n v="16635"/>
    <n v="1996145"/>
    <n v="15000"/>
    <n v="1800000"/>
    <n v="196145"/>
    <n v="9.8261899811887418E-2"/>
    <x v="1"/>
    <x v="0"/>
  </r>
  <r>
    <x v="0"/>
    <s v="DIACAP PRO HIPS 19 PS-DIALYSER, (R), AP [1.9H]"/>
    <n v="140"/>
    <n v="17489"/>
    <n v="2448473"/>
    <n v="15000"/>
    <n v="2100000"/>
    <n v="348473"/>
    <n v="0.14232258227883257"/>
    <x v="1"/>
    <x v="0"/>
  </r>
  <r>
    <x v="0"/>
    <s v="AVF NEEDLE 15G [15G]"/>
    <n v="600"/>
    <n v="523"/>
    <n v="313636"/>
    <n v="435"/>
    <n v="261000"/>
    <n v="52636"/>
    <n v="0.16782512211608361"/>
    <x v="1"/>
    <x v="0"/>
  </r>
  <r>
    <x v="0"/>
    <s v="AVF NEEDLE 16G [16G]"/>
    <n v="1200"/>
    <n v="523"/>
    <n v="627273"/>
    <n v="435"/>
    <n v="522000"/>
    <n v="105273"/>
    <n v="0.16782644877110922"/>
    <x v="1"/>
    <x v="0"/>
  </r>
  <r>
    <x v="0"/>
    <s v="XEVONTA DIALYZER HI 20, GAMMA [HI 20]"/>
    <n v="60"/>
    <n v="19564"/>
    <n v="1173818"/>
    <n v="16000"/>
    <n v="960000"/>
    <n v="213818"/>
    <n v="0.18215600714931957"/>
    <x v="1"/>
    <x v="0"/>
  </r>
  <r>
    <x v="0"/>
    <s v="Filtryzer BG-1.8U"/>
    <n v="60"/>
    <n v="15170"/>
    <n v="910200"/>
    <n v="11000"/>
    <n v="660000"/>
    <n v="250200"/>
    <n v="0.27488464073829927"/>
    <x v="1"/>
    <x v="0"/>
  </r>
  <r>
    <x v="0"/>
    <s v="Weigao Dialog HD Bloodline-3TPwD [20PC]"/>
    <n v="320"/>
    <n v="6277"/>
    <n v="2008727"/>
    <n v="5000"/>
    <n v="1600000"/>
    <n v="408727"/>
    <n v="0.20347563407073235"/>
    <x v="1"/>
    <x v="0"/>
  </r>
  <r>
    <x v="0"/>
    <s v="DIACAP ULTRA DF-ONLINE FILTER AP"/>
    <n v="6"/>
    <n v="80559"/>
    <n v="483355"/>
    <n v="55000"/>
    <n v="330000"/>
    <n v="153355"/>
    <n v="0.3172719843593218"/>
    <x v="1"/>
    <x v="0"/>
  </r>
  <r>
    <x v="0"/>
    <s v="트리캅 C-50 [C-50]"/>
    <n v="12"/>
    <n v="31386"/>
    <n v="376636"/>
    <n v="18000"/>
    <n v="216000"/>
    <n v="160636"/>
    <n v="0.42650198069223333"/>
    <x v="1"/>
    <x v="0"/>
  </r>
  <r>
    <x v="1"/>
    <m/>
    <n v="2518"/>
    <n v="188125"/>
    <n v="10338263"/>
    <m/>
    <n v="8449000"/>
    <n v="1889263"/>
    <n v="0.18274472220333338"/>
    <x v="1"/>
    <x v="0"/>
  </r>
  <r>
    <x v="2"/>
    <s v="DIACAP PRO HIPS 16 PS-DIALYSER, (R), AP [1.6H]"/>
    <n v="160"/>
    <n v="16635"/>
    <n v="2661527"/>
    <n v="15000"/>
    <n v="2400000"/>
    <n v="261527"/>
    <n v="9.8262012746817895E-2"/>
    <x v="1"/>
    <x v="0"/>
  </r>
  <r>
    <x v="2"/>
    <s v="DIACAP PRO HIPS 19 PS-DIALYSER, (R), AP [1.9H]"/>
    <n v="160"/>
    <n v="17489"/>
    <n v="2798255"/>
    <n v="15000"/>
    <n v="2400000"/>
    <n v="398255"/>
    <n v="0.14232262606517276"/>
    <x v="1"/>
    <x v="0"/>
  </r>
  <r>
    <x v="2"/>
    <s v="AVF NEEDLE 15G [15G]"/>
    <n v="900"/>
    <n v="523"/>
    <n v="470455"/>
    <n v="435"/>
    <n v="391500"/>
    <n v="78955"/>
    <n v="0.16782689098851111"/>
    <x v="1"/>
    <x v="0"/>
  </r>
  <r>
    <x v="2"/>
    <s v="AVF NEEDLE 16G [16G]"/>
    <n v="1350"/>
    <n v="523"/>
    <n v="705682"/>
    <n v="435"/>
    <n v="587250"/>
    <n v="118432"/>
    <n v="0.16782630136520416"/>
    <x v="1"/>
    <x v="0"/>
  </r>
  <r>
    <x v="2"/>
    <s v="XEVONTA DIALYZER HI 20, GAMMA [HI 20]"/>
    <n v="100"/>
    <n v="19564"/>
    <n v="1956364"/>
    <n v="16000"/>
    <n v="1600000"/>
    <n v="356364"/>
    <n v="0.18215628584455654"/>
    <x v="1"/>
    <x v="0"/>
  </r>
  <r>
    <x v="2"/>
    <s v="Filtryzer BG-1.8U"/>
    <n v="144"/>
    <n v="15170"/>
    <n v="2184480"/>
    <n v="11000"/>
    <n v="1584000"/>
    <n v="600480"/>
    <n v="0.27488464073829927"/>
    <x v="1"/>
    <x v="0"/>
  </r>
  <r>
    <x v="2"/>
    <s v="Weigao Dialog HD Bloodline-3TPwD [20PC]"/>
    <n v="380"/>
    <n v="6277"/>
    <n v="2385364"/>
    <n v="5000"/>
    <n v="1900000"/>
    <n v="485364"/>
    <n v="0.20347586364177542"/>
    <x v="1"/>
    <x v="0"/>
  </r>
  <r>
    <x v="2"/>
    <s v="트리캅 C-50 [C-50]"/>
    <n v="8"/>
    <n v="31386"/>
    <n v="251091"/>
    <n v="18000"/>
    <n v="144000"/>
    <n v="107091"/>
    <n v="0.42650274203376465"/>
    <x v="1"/>
    <x v="0"/>
  </r>
  <r>
    <x v="2"/>
    <s v="ARTSET HD DNL HC"/>
    <n v="520"/>
    <n v="7324"/>
    <n v="3808291"/>
    <n v="7000"/>
    <n v="3640000"/>
    <n v="168291"/>
    <n v="4.4190688159071879E-2"/>
    <x v="1"/>
    <x v="0"/>
  </r>
  <r>
    <x v="2"/>
    <s v="POLYFLUX 140H APAC"/>
    <n v="144"/>
    <n v="16740"/>
    <n v="2410560"/>
    <n v="16000"/>
    <n v="2304000"/>
    <n v="106560"/>
    <n v="4.4205495818399047E-2"/>
    <x v="1"/>
    <x v="0"/>
  </r>
  <r>
    <x v="2"/>
    <s v="POLYFLUX 170H APAC"/>
    <n v="264"/>
    <n v="16740"/>
    <n v="4419360"/>
    <n v="16000"/>
    <n v="4224000"/>
    <n v="195360"/>
    <n v="4.4205495818399047E-2"/>
    <x v="1"/>
    <x v="0"/>
  </r>
  <r>
    <x v="2"/>
    <s v="U9000 PLUS KR"/>
    <n v="16"/>
    <n v="83697"/>
    <n v="1339156"/>
    <n v="80000"/>
    <n v="1280000"/>
    <n v="59156"/>
    <n v="4.4174091741365454E-2"/>
    <x v="1"/>
    <x v="0"/>
  </r>
  <r>
    <x v="2"/>
    <s v="THERANOVA 400 APAC"/>
    <n v="96"/>
    <n v="18832"/>
    <n v="1807855"/>
    <n v="18000"/>
    <n v="1728000"/>
    <n v="79855"/>
    <n v="4.4171130981190417E-2"/>
    <x v="1"/>
    <x v="0"/>
  </r>
  <r>
    <x v="3"/>
    <m/>
    <n v="4242"/>
    <n v="250899"/>
    <n v="27198440"/>
    <m/>
    <n v="24182750"/>
    <n v="3015690"/>
    <n v="0.11087731502247923"/>
    <x v="1"/>
    <x v="0"/>
  </r>
  <r>
    <x v="0"/>
    <s v="SOL-CART B -KR- SOD.BIC.-CARTR. 650GR [650G]"/>
    <n v="540"/>
    <n v="4740"/>
    <n v="2559600"/>
    <n v="3870"/>
    <n v="2089800"/>
    <n v="469800"/>
    <n v="0.18354430379746836"/>
    <x v="2"/>
    <x v="0"/>
  </r>
  <r>
    <x v="0"/>
    <s v="네스벨프리필드시린지주20μg/0.5mL [20μg/0.5mL]"/>
    <n v="160"/>
    <n v="13448"/>
    <n v="2151709"/>
    <n v="10370"/>
    <n v="1659200"/>
    <n v="492509"/>
    <n v="0.22889201095501296"/>
    <x v="2"/>
    <x v="0"/>
  </r>
  <r>
    <x v="0"/>
    <s v="네스벨프리필드시린지주40μg/0.5mL [40μg/0.5mL]"/>
    <n v="40"/>
    <n v="19626"/>
    <n v="785055"/>
    <n v="15190.999999999998"/>
    <n v="607639.99999999988"/>
    <n v="177415.00000000012"/>
    <n v="0.22599053569495145"/>
    <x v="2"/>
    <x v="0"/>
  </r>
  <r>
    <x v="0"/>
    <s v="네스벨프리필드시린지주60μg/0.5mL [60μg/0.5mL]"/>
    <n v="110"/>
    <n v="24453"/>
    <n v="2689800"/>
    <n v="19968.181818181816"/>
    <n v="2196500"/>
    <n v="493300"/>
    <n v="0.18339653505836864"/>
    <x v="2"/>
    <x v="0"/>
  </r>
  <r>
    <x v="0"/>
    <s v="네스벨프리필드시린지주120μg/0.5mL [120μg/0.5mL]"/>
    <n v="40"/>
    <n v="36904"/>
    <n v="1476145"/>
    <n v="29221.799999999996"/>
    <n v="1168871.9999999998"/>
    <n v="307273.00000000023"/>
    <n v="0.20815909006229077"/>
    <x v="2"/>
    <x v="0"/>
  </r>
  <r>
    <x v="0"/>
    <s v="에취디졸비씨지에이액_(5.5L)"/>
    <n v="1100"/>
    <n v="8112"/>
    <n v="8923000"/>
    <n v="6555"/>
    <n v="7210500"/>
    <n v="1712500"/>
    <n v="0.19191975792894767"/>
    <x v="2"/>
    <x v="0"/>
  </r>
  <r>
    <x v="0"/>
    <s v="헤모시스에이지엘액 5.5L [5.5L]"/>
    <n v="155"/>
    <n v="8355"/>
    <n v="1294955"/>
    <n v="6835"/>
    <n v="1059425"/>
    <n v="235530"/>
    <n v="0.18188276812707777"/>
    <x v="2"/>
    <x v="0"/>
  </r>
  <r>
    <x v="0"/>
    <s v="세머원정 180T"/>
    <n v="20"/>
    <n v="65913"/>
    <n v="1318255"/>
    <n v="42709.090909090904"/>
    <n v="854181.81818181812"/>
    <n v="464073.18181818188"/>
    <n v="0.3520359731752824"/>
    <x v="2"/>
    <x v="0"/>
  </r>
  <r>
    <x v="0"/>
    <s v="크린세이프피에이액(과아세트산액) [5L/1통]"/>
    <n v="20"/>
    <n v="30000"/>
    <n v="600000"/>
    <n v="17000"/>
    <n v="340000"/>
    <n v="260000"/>
    <n v="0.43333333333333335"/>
    <x v="2"/>
    <x v="0"/>
  </r>
  <r>
    <x v="1"/>
    <m/>
    <n v="2180"/>
    <n v="377973"/>
    <n v="20966405"/>
    <m/>
    <n v="17186118.818181816"/>
    <n v="3780286.1818181835"/>
    <n v="0.18030206808550076"/>
    <x v="2"/>
    <x v="0"/>
  </r>
  <r>
    <x v="2"/>
    <s v="SOL-CART B -KR- SOD.BIC.-CARTR. 650GR [650G]"/>
    <n v="720"/>
    <n v="4740"/>
    <n v="3412800"/>
    <n v="3870"/>
    <n v="2786400"/>
    <n v="626400"/>
    <n v="0.18354430379746836"/>
    <x v="2"/>
    <x v="0"/>
  </r>
  <r>
    <x v="2"/>
    <s v="네스벨프리필드시린지주20μg/0.5mL [20μg/0.5mL]"/>
    <n v="180"/>
    <n v="13448"/>
    <n v="2420673"/>
    <n v="10370"/>
    <n v="1866600"/>
    <n v="554073"/>
    <n v="0.22889213041166651"/>
    <x v="2"/>
    <x v="0"/>
  </r>
  <r>
    <x v="2"/>
    <s v="네스벨프리필드시린지주40μg/0.5mL [40μg/0.5mL]"/>
    <n v="70"/>
    <n v="19626"/>
    <n v="1373845"/>
    <n v="15190.999999999998"/>
    <n v="1063369.9999999998"/>
    <n v="310475.00000000023"/>
    <n v="0.22598983145842524"/>
    <x v="2"/>
    <x v="0"/>
  </r>
  <r>
    <x v="2"/>
    <s v="네스벨프리필드시린지주60μg/0.5mL [60μg/0.5mL]"/>
    <n v="103"/>
    <n v="24453"/>
    <n v="2518631"/>
    <n v="19968.181818181816"/>
    <n v="2056722.7272727271"/>
    <n v="461908.27272727294"/>
    <n v="0.1833965645333806"/>
    <x v="2"/>
    <x v="0"/>
  </r>
  <r>
    <x v="2"/>
    <s v="네스벨프리필드시린지주120μg/0.5mL [120μg/0.5mL]"/>
    <n v="20"/>
    <n v="36904"/>
    <n v="738073"/>
    <n v="29221.799999999996"/>
    <n v="584435.99999999988"/>
    <n v="153637.00000000012"/>
    <n v="0.20815962648681108"/>
    <x v="2"/>
    <x v="0"/>
  </r>
  <r>
    <x v="2"/>
    <s v="에취디졸비씨지에이액_(5.5L)"/>
    <n v="1000"/>
    <n v="8112"/>
    <n v="8111818"/>
    <n v="6555"/>
    <n v="6555000"/>
    <n v="1556818"/>
    <n v="0.19191973981664776"/>
    <x v="2"/>
    <x v="0"/>
  </r>
  <r>
    <x v="2"/>
    <s v="헤모시스에이지엘액 5.5L [5.5L]"/>
    <n v="30"/>
    <n v="8355"/>
    <n v="250636"/>
    <n v="6835"/>
    <n v="205050"/>
    <n v="45586"/>
    <n v="0.1818812939880943"/>
    <x v="2"/>
    <x v="0"/>
  </r>
  <r>
    <x v="2"/>
    <s v="세머원정 180T"/>
    <n v="10"/>
    <n v="65913"/>
    <n v="659127"/>
    <n v="42709.090909090904"/>
    <n v="427090.90909090906"/>
    <n v="232036.09090909094"/>
    <n v="0.35203548164328108"/>
    <x v="2"/>
    <x v="0"/>
  </r>
  <r>
    <x v="3"/>
    <m/>
    <n v="1843"/>
    <n v="183214"/>
    <n v="19485603"/>
    <m/>
    <n v="15544669.636363635"/>
    <n v="3940933.3636363652"/>
    <n v="0.20224846845316335"/>
    <x v="2"/>
    <x v="0"/>
  </r>
  <r>
    <x v="0"/>
    <s v="트리캅 C-50 [C-50]"/>
    <n v="4"/>
    <n v="37273"/>
    <n v="149091"/>
    <n v="16000"/>
    <n v="64000"/>
    <n v="85091"/>
    <n v="0.57073196906587254"/>
    <x v="3"/>
    <x v="0"/>
  </r>
  <r>
    <x v="0"/>
    <s v="트리캅 C-50 [C-50]"/>
    <n v="4"/>
    <n v="37273"/>
    <n v="149091"/>
    <n v="16000"/>
    <n v="64000"/>
    <n v="85091"/>
    <n v="0.57073196906587254"/>
    <x v="3"/>
    <x v="0"/>
  </r>
  <r>
    <x v="0"/>
    <s v="DIACAP ULTRA DF-ONLINE FILTER AP"/>
    <n v="42"/>
    <n v="85909"/>
    <n v="3608182"/>
    <n v="55000"/>
    <n v="2310000"/>
    <n v="1298182"/>
    <n v="0.35978839204895985"/>
    <x v="3"/>
    <x v="0"/>
  </r>
  <r>
    <x v="0"/>
    <s v="트리캅 C-50 [C-50]"/>
    <n v="8"/>
    <n v="37273"/>
    <n v="298182"/>
    <n v="16000"/>
    <n v="128000"/>
    <n v="170182"/>
    <n v="0.57073196906587254"/>
    <x v="3"/>
    <x v="0"/>
  </r>
  <r>
    <x v="0"/>
    <s v="BL Dialog DEHT 8x12, 3 TP, DR.BAG PO [HD]"/>
    <n v="325"/>
    <n v="7699"/>
    <n v="2502205"/>
    <n v="3000"/>
    <n v="975000"/>
    <n v="1527205"/>
    <n v="0.61034367687699453"/>
    <x v="3"/>
    <x v="0"/>
  </r>
  <r>
    <x v="0"/>
    <s v="Elisio-19H [1.9]"/>
    <n v="240"/>
    <n v="18091"/>
    <n v="4341818"/>
    <n v="14500"/>
    <n v="3480000"/>
    <n v="861818"/>
    <n v="0.19849242874758916"/>
    <x v="3"/>
    <x v="0"/>
  </r>
  <r>
    <x v="1"/>
    <m/>
    <n v="623"/>
    <n v="223517"/>
    <n v="11048569"/>
    <m/>
    <n v="7021000"/>
    <n v="4027569"/>
    <n v="0.36453309021285923"/>
    <x v="3"/>
    <x v="0"/>
  </r>
  <r>
    <x v="2"/>
    <s v="트리캅 C-50 [C-50]"/>
    <n v="8"/>
    <n v="37273"/>
    <n v="298182"/>
    <n v="16000"/>
    <n v="128000"/>
    <n v="170182"/>
    <n v="0.57073196906587254"/>
    <x v="3"/>
    <x v="0"/>
  </r>
  <r>
    <x v="2"/>
    <s v="트리캅 C-50 [C-50]"/>
    <n v="8"/>
    <n v="37273"/>
    <n v="298182"/>
    <n v="16000"/>
    <n v="128000"/>
    <n v="170182"/>
    <n v="0.57073196906587254"/>
    <x v="3"/>
    <x v="0"/>
  </r>
  <r>
    <x v="2"/>
    <s v="트리캅 C-50 [C-50]"/>
    <n v="4"/>
    <n v="37273"/>
    <n v="149091"/>
    <n v="16000"/>
    <n v="64000"/>
    <n v="85091"/>
    <n v="0.57073196906587254"/>
    <x v="3"/>
    <x v="0"/>
  </r>
  <r>
    <x v="2"/>
    <s v="BL Dialog DEHT 8x12, 3 TP, DR.BAG PO [HD]"/>
    <n v="375"/>
    <n v="7699"/>
    <n v="2887159"/>
    <n v="3000"/>
    <n v="1125000"/>
    <n v="1762159"/>
    <n v="0.61034359382354764"/>
    <x v="3"/>
    <x v="0"/>
  </r>
  <r>
    <x v="2"/>
    <s v="Elisio-19H [1.9]"/>
    <n v="240"/>
    <n v="18091"/>
    <n v="4341819"/>
    <n v="14500"/>
    <n v="3480000"/>
    <n v="861819"/>
    <n v="0.1984926133493819"/>
    <x v="3"/>
    <x v="0"/>
  </r>
  <r>
    <x v="3"/>
    <m/>
    <n v="635"/>
    <n v="137608"/>
    <n v="7974433"/>
    <m/>
    <n v="4925000"/>
    <n v="3049433"/>
    <n v="0.38240123153583461"/>
    <x v="3"/>
    <x v="0"/>
  </r>
  <r>
    <x v="0"/>
    <s v="SOL-CART B -KR- SOD.BIC.-CARTR. 650GR [650G]"/>
    <n v="310"/>
    <n v="37360"/>
    <n v="1447700"/>
    <n v="3860"/>
    <n v="1196600"/>
    <n v="251100"/>
    <n v="0.17344753747323341"/>
    <x v="4"/>
    <x v="0"/>
  </r>
  <r>
    <x v="1"/>
    <m/>
    <n v="310"/>
    <n v="37360"/>
    <n v="1447700"/>
    <m/>
    <n v="1196600"/>
    <n v="251100"/>
    <n v="0.17344753747323341"/>
    <x v="4"/>
    <x v="0"/>
  </r>
  <r>
    <x v="2"/>
    <s v="SOL-CART B -KR- SOD.BIC.-CARTR. 650GR [650G]"/>
    <n v="430"/>
    <n v="32690"/>
    <n v="2008100"/>
    <n v="3860"/>
    <n v="1659800"/>
    <n v="348300"/>
    <n v="0.17344753747323341"/>
    <x v="4"/>
    <x v="0"/>
  </r>
  <r>
    <x v="3"/>
    <m/>
    <n v="430"/>
    <n v="32690"/>
    <n v="2008100"/>
    <m/>
    <n v="1659800"/>
    <n v="348300"/>
    <n v="0.17344753747323341"/>
    <x v="4"/>
    <x v="0"/>
  </r>
  <r>
    <x v="0"/>
    <s v="헤모시스에이지액 5.5L [5.5L]"/>
    <n v="920"/>
    <n v="7860"/>
    <n v="7231200"/>
    <n v="6227"/>
    <n v="5728840"/>
    <n v="1502360"/>
    <n v="0.20776081424936388"/>
    <x v="5"/>
    <x v="0"/>
  </r>
  <r>
    <x v="0"/>
    <s v="헤모시스에이지엘액 5.5L [5.5L]"/>
    <n v="36"/>
    <n v="8100"/>
    <n v="291600"/>
    <n v="6414"/>
    <n v="230904"/>
    <n v="60696"/>
    <n v="0.20814814814814814"/>
    <x v="5"/>
    <x v="0"/>
  </r>
  <r>
    <x v="0"/>
    <s v="SOL-CART B -KR- SOD.BIC.-CARTR. 650GR [650G]"/>
    <n v="940"/>
    <n v="4690"/>
    <n v="4408600"/>
    <n v="3860"/>
    <n v="3628400"/>
    <n v="780200"/>
    <n v="0.17697228144989338"/>
    <x v="5"/>
    <x v="0"/>
  </r>
  <r>
    <x v="1"/>
    <m/>
    <n v="1896"/>
    <n v="20650"/>
    <n v="11931400"/>
    <m/>
    <n v="9588144"/>
    <n v="2343256"/>
    <n v="0.19639405266775065"/>
    <x v="5"/>
    <x v="0"/>
  </r>
  <r>
    <x v="2"/>
    <s v="헤모시스에이지액 5.5L [5.5L]"/>
    <n v="720"/>
    <n v="7860"/>
    <n v="5659200"/>
    <n v="6227"/>
    <n v="4483440"/>
    <n v="1175760"/>
    <n v="0.20776081424936388"/>
    <x v="5"/>
    <x v="0"/>
  </r>
  <r>
    <x v="2"/>
    <s v="헤모시스에이지엘액 5.5L [5.5L]"/>
    <n v="20"/>
    <n v="8100"/>
    <n v="162000"/>
    <n v="6414"/>
    <n v="128280"/>
    <n v="33720"/>
    <n v="0.20814814814814814"/>
    <x v="5"/>
    <x v="0"/>
  </r>
  <r>
    <x v="2"/>
    <s v="SOL-CART B -KR- SOD.BIC.-CARTR. 650GR [650G]"/>
    <n v="730"/>
    <n v="4690"/>
    <n v="3423700"/>
    <n v="3860"/>
    <n v="2817800"/>
    <n v="605900"/>
    <n v="0.17697228144989338"/>
    <x v="5"/>
    <x v="0"/>
  </r>
  <r>
    <x v="3"/>
    <m/>
    <n v="1470"/>
    <n v="20650"/>
    <n v="9244900"/>
    <m/>
    <n v="7429520"/>
    <n v="1815380"/>
    <n v="0.19636556371621111"/>
    <x v="5"/>
    <x v="0"/>
  </r>
  <r>
    <x v="0"/>
    <s v="AVF NEEDLE 15G [15G]"/>
    <n v="300"/>
    <n v="450"/>
    <n v="135000"/>
    <n v="435"/>
    <n v="130500"/>
    <n v="4500"/>
    <n v="3.3333333333333333E-2"/>
    <x v="6"/>
    <x v="0"/>
  </r>
  <r>
    <x v="0"/>
    <s v="AVF NEEDLE 16G [16G]"/>
    <n v="750"/>
    <n v="450"/>
    <n v="337500"/>
    <n v="435"/>
    <n v="326250"/>
    <n v="11250"/>
    <n v="3.3333333333333333E-2"/>
    <x v="6"/>
    <x v="0"/>
  </r>
  <r>
    <x v="0"/>
    <s v="DIACAP PRO HIPS 13 PS-DIALYSER, (R), AP [1.3H]"/>
    <n v="61"/>
    <n v="13600"/>
    <n v="829600"/>
    <n v="13000"/>
    <n v="793000"/>
    <n v="36600"/>
    <n v="4.4117647058823532E-2"/>
    <x v="6"/>
    <x v="0"/>
  </r>
  <r>
    <x v="0"/>
    <s v="DIACAP PRO HIPS 16 PS-DIALYSER, (R), AP [1.6H]"/>
    <n v="359"/>
    <n v="13600"/>
    <n v="4882400"/>
    <n v="13000"/>
    <n v="4667000"/>
    <n v="215400"/>
    <n v="4.4117647058823532E-2"/>
    <x v="6"/>
    <x v="0"/>
  </r>
  <r>
    <x v="0"/>
    <s v="DIACAP PRO HIPS 19 PS-DIALYSER, (R), AP [1.9H]"/>
    <n v="396"/>
    <n v="13600"/>
    <n v="5385600"/>
    <n v="13000"/>
    <n v="5148000"/>
    <n v="237600"/>
    <n v="4.4117647058823532E-2"/>
    <x v="6"/>
    <x v="0"/>
  </r>
  <r>
    <x v="0"/>
    <s v="BL Dialog DEHT 8x12,3 TP, DR.BAG PO [HDF]"/>
    <n v="837"/>
    <n v="5400"/>
    <n v="4519800"/>
    <n v="5000"/>
    <n v="4185000"/>
    <n v="334800"/>
    <n v="7.407407407407407E-2"/>
    <x v="6"/>
    <x v="0"/>
  </r>
  <r>
    <x v="0"/>
    <s v="XEVONTA DIALYZER HI 20, GAMMA [HI 20]"/>
    <n v="21"/>
    <n v="17750"/>
    <n v="372750"/>
    <n v="15000"/>
    <n v="315000"/>
    <n v="57750"/>
    <n v="0.15492957746478872"/>
    <x v="6"/>
    <x v="0"/>
  </r>
  <r>
    <x v="0"/>
    <s v="트리캅 C-50 [C-50]"/>
    <n v="35"/>
    <n v="18000"/>
    <n v="630000"/>
    <n v="16000"/>
    <n v="560000"/>
    <n v="70000"/>
    <n v="0.1111111111111111"/>
    <x v="6"/>
    <x v="0"/>
  </r>
  <r>
    <x v="0"/>
    <s v="DIACAP ULTRA DF-ONLINE FILTER AP"/>
    <n v="18"/>
    <n v="50000"/>
    <n v="900000"/>
    <n v="55000"/>
    <n v="990000"/>
    <n v="-90000"/>
    <n v="-0.1"/>
    <x v="6"/>
    <x v="0"/>
  </r>
  <r>
    <x v="1"/>
    <m/>
    <n v="2777"/>
    <n v="132850"/>
    <n v="17992650"/>
    <m/>
    <n v="17114750"/>
    <n v="877900"/>
    <n v="4.8792145681708921E-2"/>
    <x v="6"/>
    <x v="0"/>
  </r>
  <r>
    <x v="2"/>
    <s v="AVF NEEDLE 15G [15G]"/>
    <n v="300"/>
    <n v="450"/>
    <n v="135000"/>
    <n v="435"/>
    <n v="130500"/>
    <n v="4500"/>
    <n v="3.3333333333333333E-2"/>
    <x v="6"/>
    <x v="0"/>
  </r>
  <r>
    <x v="2"/>
    <s v="AVF NEEDLE 16G [16G]"/>
    <n v="900"/>
    <n v="450"/>
    <n v="405000"/>
    <n v="435"/>
    <n v="391500"/>
    <n v="13500"/>
    <n v="3.3333333333333333E-2"/>
    <x v="6"/>
    <x v="0"/>
  </r>
  <r>
    <x v="2"/>
    <s v="DIACAP PRO HIPS 13 PS-DIALYSER, (R), AP [1.3H]"/>
    <n v="56"/>
    <n v="13600"/>
    <n v="761600"/>
    <n v="13000"/>
    <n v="728000"/>
    <n v="33600"/>
    <n v="4.4117647058823532E-2"/>
    <x v="6"/>
    <x v="0"/>
  </r>
  <r>
    <x v="2"/>
    <s v="DIACAP PRO HIPS 16 PS-DIALYSER, (R), AP [1.6H]"/>
    <n v="314"/>
    <n v="13600"/>
    <n v="4270400"/>
    <n v="13000"/>
    <n v="4082000"/>
    <n v="188400"/>
    <n v="4.4117647058823532E-2"/>
    <x v="6"/>
    <x v="0"/>
  </r>
  <r>
    <x v="2"/>
    <s v="DIACAP PRO HIPS 19 PS-DIALYSER, (R), AP [1.9H]"/>
    <n v="350"/>
    <n v="13600"/>
    <n v="4760000"/>
    <n v="13000"/>
    <n v="4550000"/>
    <n v="210000"/>
    <n v="4.4117647058823532E-2"/>
    <x v="6"/>
    <x v="0"/>
  </r>
  <r>
    <x v="2"/>
    <s v="BL Dialog DEHT 8x12,3 TP, DR.BAG PO [HDF]"/>
    <n v="743"/>
    <n v="5400"/>
    <n v="4012200"/>
    <n v="5000"/>
    <n v="3715000"/>
    <n v="297200"/>
    <n v="7.407407407407407E-2"/>
    <x v="6"/>
    <x v="0"/>
  </r>
  <r>
    <x v="2"/>
    <s v="XEVONTA DIALYZER HI 20, GAMMA [HI 20]"/>
    <n v="22"/>
    <n v="17750"/>
    <n v="390500"/>
    <n v="15000"/>
    <n v="330000"/>
    <n v="60500"/>
    <n v="0.15492957746478872"/>
    <x v="6"/>
    <x v="0"/>
  </r>
  <r>
    <x v="2"/>
    <s v="트리캅 C-50 [C-50]"/>
    <n v="9"/>
    <n v="18000"/>
    <n v="162000"/>
    <n v="16000"/>
    <n v="144000"/>
    <n v="18000"/>
    <n v="0.1111111111111111"/>
    <x v="6"/>
    <x v="0"/>
  </r>
  <r>
    <x v="3"/>
    <m/>
    <n v="2694"/>
    <n v="82850"/>
    <n v="14896700"/>
    <m/>
    <n v="14071000"/>
    <n v="825700"/>
    <n v="5.5428383467479372E-2"/>
    <x v="6"/>
    <x v="0"/>
  </r>
  <r>
    <x v="1"/>
    <m/>
    <m/>
    <m/>
    <n v="1899653"/>
    <m/>
    <n v="1739478.1818181816"/>
    <n v="160174.81818181835"/>
    <n v="9.2082108218452238E-2"/>
    <x v="7"/>
    <x v="1"/>
  </r>
  <r>
    <x v="3"/>
    <m/>
    <m/>
    <m/>
    <n v="2901527"/>
    <m/>
    <n v="2710325.4545454541"/>
    <n v="191201.54545454588"/>
    <n v="7.054560371481737E-2"/>
    <x v="7"/>
    <x v="1"/>
  </r>
  <r>
    <x v="0"/>
    <s v="XEVONTA DIALYZER HI 15, GAMMA [HI 15]"/>
    <n v="240"/>
    <n v="74473"/>
    <n v="4468364"/>
    <n v="11400"/>
    <n v="2736000"/>
    <n v="1732364"/>
    <n v="0.38769536232947899"/>
    <x v="8"/>
    <x v="0"/>
  </r>
  <r>
    <x v="1"/>
    <m/>
    <n v="240"/>
    <n v="74473"/>
    <n v="4468364"/>
    <m/>
    <n v="2736000"/>
    <n v="1732364"/>
    <n v="0.38769536232947899"/>
    <x v="8"/>
    <x v="0"/>
  </r>
  <r>
    <x v="2"/>
    <s v="XEVONTA DIALYZER HI 15, GAMMA [HI 15]"/>
    <n v="180"/>
    <n v="55855"/>
    <n v="3351273"/>
    <n v="11400"/>
    <n v="2052000"/>
    <n v="1299273"/>
    <n v="0.38769536232947899"/>
    <x v="8"/>
    <x v="0"/>
  </r>
  <r>
    <x v="3"/>
    <m/>
    <n v="180"/>
    <n v="55855"/>
    <n v="3351273"/>
    <m/>
    <n v="2052000"/>
    <n v="1299273"/>
    <n v="0.38769536232947899"/>
    <x v="8"/>
    <x v="0"/>
  </r>
  <r>
    <x v="0"/>
    <s v="XEVONTA DIALYZER HI 18, GAMMA [HI 18]"/>
    <n v="100"/>
    <n v="15800"/>
    <n v="1580000"/>
    <n v="10850"/>
    <n v="1085000"/>
    <n v="495000"/>
    <n v="0.31329113924050633"/>
    <x v="9"/>
    <x v="0"/>
  </r>
  <r>
    <x v="0"/>
    <s v="XEVONTA DIALYZER HI 15, GAMMA [HI 15]"/>
    <n v="60"/>
    <n v="15800"/>
    <n v="948000"/>
    <n v="10850"/>
    <n v="651000"/>
    <n v="297000"/>
    <n v="0.31329113924050633"/>
    <x v="9"/>
    <x v="0"/>
  </r>
  <r>
    <x v="1"/>
    <m/>
    <n v="160"/>
    <n v="31600"/>
    <n v="2528000"/>
    <m/>
    <n v="1736000"/>
    <n v="792000"/>
    <n v="0.31329113924050633"/>
    <x v="9"/>
    <x v="0"/>
  </r>
  <r>
    <x v="2"/>
    <s v="XEVONTA DIALYZER HI 18, GAMMA [HI 18]"/>
    <n v="80"/>
    <n v="15800"/>
    <n v="1264000"/>
    <n v="10850"/>
    <n v="868000"/>
    <n v="396000"/>
    <n v="0.31329113924050633"/>
    <x v="9"/>
    <x v="0"/>
  </r>
  <r>
    <x v="2"/>
    <s v="XEVONTA DIALYZER HI 15, GAMMA [HI 15]"/>
    <n v="120"/>
    <n v="15800"/>
    <n v="1896000"/>
    <n v="10850"/>
    <n v="1302000"/>
    <n v="594000"/>
    <n v="0.31329113924050633"/>
    <x v="9"/>
    <x v="0"/>
  </r>
  <r>
    <x v="3"/>
    <m/>
    <n v="200"/>
    <n v="31600"/>
    <n v="3160000"/>
    <m/>
    <n v="2170000"/>
    <n v="990000"/>
    <n v="0.31329113924050633"/>
    <x v="9"/>
    <x v="0"/>
  </r>
  <r>
    <x v="0"/>
    <s v="XEVONTA DIALYZER HI 18, GAMMA [HI 18]"/>
    <n v="180"/>
    <n v="15500"/>
    <n v="2790000"/>
    <n v="11900"/>
    <n v="2142000"/>
    <n v="648000"/>
    <n v="0.23225806451612904"/>
    <x v="10"/>
    <x v="0"/>
  </r>
  <r>
    <x v="1"/>
    <m/>
    <n v="180"/>
    <n v="15500"/>
    <n v="2790000"/>
    <m/>
    <n v="2142000"/>
    <n v="648000"/>
    <n v="0.23225806451612904"/>
    <x v="10"/>
    <x v="0"/>
  </r>
  <r>
    <x v="2"/>
    <s v="XEVONTA DIALYZER HI 18, GAMMA [HI 18]"/>
    <n v="180"/>
    <n v="15500"/>
    <n v="2790000"/>
    <n v="11900"/>
    <n v="2142000"/>
    <n v="648000"/>
    <n v="0.23225806451612904"/>
    <x v="10"/>
    <x v="0"/>
  </r>
  <r>
    <x v="3"/>
    <m/>
    <n v="180"/>
    <n v="15500"/>
    <n v="2790000"/>
    <m/>
    <n v="2142000"/>
    <n v="648000"/>
    <n v="0.23225806451612904"/>
    <x v="10"/>
    <x v="0"/>
  </r>
  <r>
    <x v="0"/>
    <s v="HYDROLINK NV-15U [High 15]"/>
    <n v="60"/>
    <n v="14400"/>
    <n v="864000"/>
    <n v="11000"/>
    <n v="660000"/>
    <n v="204000"/>
    <n v="0.2361111111111111"/>
    <x v="11"/>
    <x v="0"/>
  </r>
  <r>
    <x v="0"/>
    <s v="Filtryzer BG-1.6U"/>
    <n v="21"/>
    <n v="16000"/>
    <n v="336000"/>
    <n v="10500"/>
    <n v="220500"/>
    <n v="115500"/>
    <n v="0.34375"/>
    <x v="11"/>
    <x v="0"/>
  </r>
  <r>
    <x v="0"/>
    <s v="5M Filter 10 inch(New)"/>
    <n v="24"/>
    <n v="55000"/>
    <n v="1320000"/>
    <n v="50000"/>
    <n v="1200000"/>
    <n v="120000"/>
    <n v="9.0909090909090912E-2"/>
    <x v="11"/>
    <x v="0"/>
  </r>
  <r>
    <x v="1"/>
    <m/>
    <n v="105"/>
    <n v="85400"/>
    <n v="2520000"/>
    <m/>
    <n v="2080500"/>
    <n v="439500"/>
    <n v="0.1744047619047619"/>
    <x v="11"/>
    <x v="0"/>
  </r>
  <r>
    <x v="2"/>
    <s v="HYDROLINK NV-15U [High 15]"/>
    <n v="44"/>
    <n v="14400"/>
    <n v="633600"/>
    <n v="11000"/>
    <n v="484000"/>
    <n v="149600"/>
    <n v="0.2361111111111111"/>
    <x v="11"/>
    <x v="0"/>
  </r>
  <r>
    <x v="2"/>
    <s v="Filtryzer BG-1.6U"/>
    <n v="64"/>
    <n v="16000"/>
    <n v="1024000"/>
    <n v="10500"/>
    <n v="672000"/>
    <n v="352000"/>
    <n v="0.34375"/>
    <x v="11"/>
    <x v="0"/>
  </r>
  <r>
    <x v="3"/>
    <m/>
    <n v="108"/>
    <n v="30400"/>
    <n v="1657600"/>
    <m/>
    <n v="1156000"/>
    <n v="501600"/>
    <n v="0.30260617760617758"/>
    <x v="11"/>
    <x v="0"/>
  </r>
  <r>
    <x v="0"/>
    <s v="헤모시스에이지액 10L [10L]"/>
    <n v="1000"/>
    <n v="11023"/>
    <n v="11022727"/>
    <n v="8928"/>
    <n v="8928000"/>
    <n v="2094727"/>
    <n v="0.19003709336174252"/>
    <x v="12"/>
    <x v="0"/>
  </r>
  <r>
    <x v="0"/>
    <s v="에포틴플러스프리필드주2000IU/0.5mL [0.5mL]"/>
    <n v="30"/>
    <n v="40696"/>
    <n v="1220891"/>
    <n v="20755"/>
    <n v="622650"/>
    <n v="598241"/>
    <n v="0.49000361211606935"/>
    <x v="12"/>
    <x v="0"/>
  </r>
  <r>
    <x v="0"/>
    <s v="에포틴플러스프리필드주10000IU/0.4mL [0.4mL]"/>
    <n v="68"/>
    <n v="65329"/>
    <n v="4442378"/>
    <n v="33318"/>
    <n v="2265624"/>
    <n v="2176754"/>
    <n v="0.48999747432568774"/>
    <x v="12"/>
    <x v="0"/>
  </r>
  <r>
    <x v="0"/>
    <s v="에포틴플러스프리필드주10000IU/0.6mL [0.6mL]"/>
    <n v="60"/>
    <n v="71007"/>
    <n v="4260436"/>
    <n v="36213"/>
    <n v="2172780"/>
    <n v="2087656"/>
    <n v="0.49000994264436787"/>
    <x v="12"/>
    <x v="0"/>
  </r>
  <r>
    <x v="0"/>
    <s v="에포틴플러스프리필드주10000IU/0.8mL [0.8mL]"/>
    <n v="10"/>
    <n v="83220"/>
    <n v="832200"/>
    <n v="42441"/>
    <n v="424410"/>
    <n v="407790"/>
    <n v="0.49001441961067049"/>
    <x v="12"/>
    <x v="0"/>
  </r>
  <r>
    <x v="0"/>
    <s v="에포카인프리필드주10000IU/mL(1mL) [10000IU/mL(1mL)]"/>
    <n v="35"/>
    <n v="108115"/>
    <n v="3784009"/>
    <n v="54060"/>
    <n v="1892100"/>
    <n v="1891909"/>
    <n v="0.49997476221647463"/>
    <x v="12"/>
    <x v="0"/>
  </r>
  <r>
    <x v="0"/>
    <s v="Filtryzer BG-1.8U"/>
    <n v="84"/>
    <n v="12000"/>
    <n v="1008000"/>
    <n v="11000"/>
    <n v="924000"/>
    <n v="84000"/>
    <n v="8.3333333333333329E-2"/>
    <x v="12"/>
    <x v="0"/>
  </r>
  <r>
    <x v="1"/>
    <m/>
    <n v="1287"/>
    <n v="391390"/>
    <n v="26570641"/>
    <m/>
    <n v="17229564"/>
    <n v="9341077"/>
    <n v="0.3515563286561284"/>
    <x v="12"/>
    <x v="0"/>
  </r>
  <r>
    <x v="2"/>
    <s v="헤모시스에이지액 10L [10L]"/>
    <n v="600"/>
    <n v="11023"/>
    <n v="6613636"/>
    <n v="8928"/>
    <n v="5356800"/>
    <n v="1256836"/>
    <n v="0.19003706886801752"/>
    <x v="12"/>
    <x v="0"/>
  </r>
  <r>
    <x v="2"/>
    <s v="에포틴플러스프리필드주2000IU/0.5mL [0.5mL]"/>
    <n v="28"/>
    <n v="40696"/>
    <n v="1139498"/>
    <n v="20755"/>
    <n v="581140"/>
    <n v="558358"/>
    <n v="0.49000349276611282"/>
    <x v="12"/>
    <x v="0"/>
  </r>
  <r>
    <x v="2"/>
    <s v="에포틴플러스프리필드주10000IU/0.4mL [0.4mL]"/>
    <n v="30"/>
    <n v="65329"/>
    <n v="1959873"/>
    <n v="33318"/>
    <n v="999540"/>
    <n v="960333"/>
    <n v="0.48999756616882828"/>
    <x v="12"/>
    <x v="0"/>
  </r>
  <r>
    <x v="2"/>
    <s v="에포틴플러스프리필드주10000IU/0.6mL [0.6mL]"/>
    <n v="20"/>
    <n v="71007"/>
    <n v="1420145"/>
    <n v="36213"/>
    <n v="724260"/>
    <n v="695885"/>
    <n v="0.49000982294061524"/>
    <x v="12"/>
    <x v="0"/>
  </r>
  <r>
    <x v="2"/>
    <s v="에포틴플러스프리필드주10000IU/0.8mL [0.8mL]"/>
    <n v="20"/>
    <n v="83220"/>
    <n v="1664400"/>
    <n v="42441"/>
    <n v="848820"/>
    <n v="815580"/>
    <n v="0.49001441961067049"/>
    <x v="12"/>
    <x v="0"/>
  </r>
  <r>
    <x v="2"/>
    <s v="에포카인프리필드주10000IU/mL(1mL) [10000IU/mL(1mL)]"/>
    <n v="20"/>
    <n v="108115"/>
    <n v="2162291"/>
    <n v="54060"/>
    <n v="1081200"/>
    <n v="1081091"/>
    <n v="0.49997479525188793"/>
    <x v="12"/>
    <x v="0"/>
  </r>
  <r>
    <x v="2"/>
    <s v="Filtryzer BG-1.8U"/>
    <n v="120"/>
    <n v="12000"/>
    <n v="1440000"/>
    <n v="11000"/>
    <n v="1320000"/>
    <n v="120000"/>
    <n v="8.3333333333333329E-2"/>
    <x v="12"/>
    <x v="0"/>
  </r>
  <r>
    <x v="3"/>
    <m/>
    <n v="838"/>
    <n v="391390"/>
    <n v="16399843"/>
    <m/>
    <n v="10911760"/>
    <n v="5488083"/>
    <n v="0.33464241090600683"/>
    <x v="12"/>
    <x v="0"/>
  </r>
  <r>
    <x v="0"/>
    <s v="네스프 프리필드시린지 주 120/0.5mL [120/0.5mL]"/>
    <n v="10"/>
    <n v="42353"/>
    <n v="423527"/>
    <n v="36380"/>
    <n v="363800"/>
    <n v="59727"/>
    <n v="0.14102288638032523"/>
    <x v="13"/>
    <x v="0"/>
  </r>
  <r>
    <x v="1"/>
    <m/>
    <n v="10"/>
    <n v="42353"/>
    <n v="423527"/>
    <m/>
    <n v="363800"/>
    <n v="59727"/>
    <n v="0.14102288638032523"/>
    <x v="13"/>
    <x v="0"/>
  </r>
  <r>
    <x v="2"/>
    <s v="네스프 프리필드시린지 주 120/0.5mL [120/0.5mL]"/>
    <n v="10"/>
    <n v="42353"/>
    <n v="423527"/>
    <n v="36380"/>
    <n v="363800"/>
    <n v="59727"/>
    <n v="0.14102288638032523"/>
    <x v="13"/>
    <x v="0"/>
  </r>
  <r>
    <x v="3"/>
    <m/>
    <n v="10"/>
    <n v="42353"/>
    <n v="423527"/>
    <m/>
    <n v="363800"/>
    <n v="59727"/>
    <n v="0.14102288638032523"/>
    <x v="13"/>
    <x v="0"/>
  </r>
  <r>
    <x v="0"/>
    <s v="헤모시스비액 6.3L [6.3L]"/>
    <n v="360"/>
    <n v="7570"/>
    <n v="2725200"/>
    <n v="6132"/>
    <n v="2207520"/>
    <n v="517680"/>
    <n v="0.18996036988110965"/>
    <x v="14"/>
    <x v="0"/>
  </r>
  <r>
    <x v="0"/>
    <s v="헤모시스에이지액 5.5L [5.5L]"/>
    <n v="340"/>
    <n v="8194"/>
    <n v="2785836"/>
    <n v="6637"/>
    <n v="2256580"/>
    <n v="529256"/>
    <n v="0.18998103262360025"/>
    <x v="14"/>
    <x v="0"/>
  </r>
  <r>
    <x v="0"/>
    <s v="헤모시스에이지엘액 5.5L [5.5L]"/>
    <n v="12"/>
    <n v="8439"/>
    <n v="101269"/>
    <n v="6835"/>
    <n v="82020"/>
    <n v="19249"/>
    <n v="0.19007791130553278"/>
    <x v="14"/>
    <x v="0"/>
  </r>
  <r>
    <x v="0"/>
    <s v="BT-102XA [Tubing set] [Blood Line]"/>
    <n v="192"/>
    <n v="6000"/>
    <n v="1152000"/>
    <n v="4800"/>
    <n v="921600"/>
    <n v="230400"/>
    <n v="0.2"/>
    <x v="14"/>
    <x v="0"/>
  </r>
  <r>
    <x v="0"/>
    <s v="HYDROLINK NV-13U [24ea/BOX]"/>
    <n v="192"/>
    <n v="15500"/>
    <n v="2976000"/>
    <n v="15000"/>
    <n v="2880000"/>
    <n v="96000"/>
    <n v="3.2258064516129031E-2"/>
    <x v="14"/>
    <x v="0"/>
  </r>
  <r>
    <x v="0"/>
    <s v="HYDROLINK NV-15U [24ea/BOX]"/>
    <n v="48"/>
    <n v="16500"/>
    <n v="792000"/>
    <n v="16000"/>
    <n v="768000"/>
    <n v="24000"/>
    <n v="3.0303030303030304E-2"/>
    <x v="14"/>
    <x v="0"/>
  </r>
  <r>
    <x v="0"/>
    <s v="AVF NEEDLE 16G [16G]"/>
    <n v="600"/>
    <n v="600"/>
    <n v="360000"/>
    <n v="500"/>
    <n v="300000"/>
    <n v="60000"/>
    <n v="0.16666666666666666"/>
    <x v="14"/>
    <x v="0"/>
  </r>
  <r>
    <x v="0"/>
    <s v="크린세이프피에이액(과아세트산액) [5L/1통]"/>
    <n v="6"/>
    <n v="35000"/>
    <n v="210000"/>
    <n v="30000"/>
    <n v="180000"/>
    <n v="30000"/>
    <n v="0.14285714285714285"/>
    <x v="14"/>
    <x v="0"/>
  </r>
  <r>
    <x v="0"/>
    <s v="에포틴플러스프리필드주10000IU/1mL [1mL]"/>
    <n v="35"/>
    <n v="102087"/>
    <n v="3573055"/>
    <n v="52064"/>
    <n v="1822240"/>
    <n v="1750815"/>
    <n v="0.49000505169945607"/>
    <x v="14"/>
    <x v="0"/>
  </r>
  <r>
    <x v="0"/>
    <s v="에포틴플러스프리필드주10000IU/0.4mL [0.4mL]"/>
    <n v="25"/>
    <n v="65329"/>
    <n v="1633227"/>
    <n v="33318"/>
    <n v="832950"/>
    <n v="800277"/>
    <n v="0.48999741003546965"/>
    <x v="14"/>
    <x v="0"/>
  </r>
  <r>
    <x v="1"/>
    <m/>
    <n v="1810"/>
    <n v="265219"/>
    <n v="16308587"/>
    <m/>
    <n v="12250910"/>
    <n v="4057677"/>
    <n v="0.2488061657334262"/>
    <x v="14"/>
    <x v="0"/>
  </r>
  <r>
    <x v="2"/>
    <s v="헤모시스비액 6.3L [6.3L]"/>
    <n v="330"/>
    <n v="7570"/>
    <n v="2498100"/>
    <n v="6132"/>
    <n v="2023560"/>
    <n v="474540"/>
    <n v="0.18996036988110965"/>
    <x v="14"/>
    <x v="0"/>
  </r>
  <r>
    <x v="2"/>
    <s v="헤모시스에이지액 5.5L [5.5L]"/>
    <n v="310"/>
    <n v="8194"/>
    <n v="2540027"/>
    <n v="6637"/>
    <n v="2057470"/>
    <n v="482557"/>
    <n v="0.18998105138252466"/>
    <x v="14"/>
    <x v="0"/>
  </r>
  <r>
    <x v="2"/>
    <s v="헤모시스에이지엘액 5.5L [5.5L]"/>
    <n v="12"/>
    <n v="8439"/>
    <n v="101269"/>
    <n v="6835"/>
    <n v="82020"/>
    <n v="19249"/>
    <n v="0.19007791130553278"/>
    <x v="14"/>
    <x v="0"/>
  </r>
  <r>
    <x v="2"/>
    <s v="BT-102XA [Tubing set] [Blood Line]"/>
    <n v="240"/>
    <n v="6000"/>
    <n v="1440000"/>
    <n v="4800"/>
    <n v="1152000"/>
    <n v="288000"/>
    <n v="0.2"/>
    <x v="14"/>
    <x v="0"/>
  </r>
  <r>
    <x v="2"/>
    <s v="HYDROLINK NV-13U [24ea/BOX]"/>
    <n v="240"/>
    <n v="15500"/>
    <n v="3720000"/>
    <n v="15000"/>
    <n v="3600000"/>
    <n v="120000"/>
    <n v="3.2258064516129031E-2"/>
    <x v="14"/>
    <x v="0"/>
  </r>
  <r>
    <x v="2"/>
    <s v="AVF NEEDLE 16G [16G]"/>
    <n v="1200"/>
    <n v="600"/>
    <n v="720000"/>
    <n v="500"/>
    <n v="600000"/>
    <n v="120000"/>
    <n v="0.16666666666666666"/>
    <x v="14"/>
    <x v="0"/>
  </r>
  <r>
    <x v="2"/>
    <s v="크린세이프피에이액(과아세트산액) [5L/1통]"/>
    <n v="12"/>
    <n v="35000"/>
    <n v="420000"/>
    <n v="30000"/>
    <n v="360000"/>
    <n v="60000"/>
    <n v="0.14285714285714285"/>
    <x v="14"/>
    <x v="0"/>
  </r>
  <r>
    <x v="2"/>
    <s v="에포틴플러스프리필드주10000IU/1mL [1mL]"/>
    <n v="25"/>
    <n v="102087"/>
    <n v="2552182"/>
    <n v="52064"/>
    <n v="1301600"/>
    <n v="1250582"/>
    <n v="0.49000502315273753"/>
    <x v="14"/>
    <x v="0"/>
  </r>
  <r>
    <x v="2"/>
    <s v="에포틴플러스프리필드주10000IU/0.4mL [0.4mL]"/>
    <n v="20"/>
    <n v="65329"/>
    <n v="1306582"/>
    <n v="33318"/>
    <n v="666360"/>
    <n v="640222"/>
    <n v="0.48999756616882828"/>
    <x v="14"/>
    <x v="0"/>
  </r>
  <r>
    <x v="2"/>
    <s v="에포틴플러스프리필드주10000IU/0.6mL [0.6mL]"/>
    <n v="20"/>
    <n v="71007"/>
    <n v="1420145"/>
    <n v="36213"/>
    <n v="724260"/>
    <n v="695885"/>
    <n v="0.49000982294061524"/>
    <x v="14"/>
    <x v="0"/>
  </r>
  <r>
    <x v="3"/>
    <m/>
    <n v="2409"/>
    <n v="319726"/>
    <n v="16718305"/>
    <m/>
    <n v="12567270"/>
    <n v="4151035"/>
    <n v="0.24829281437322742"/>
    <x v="14"/>
    <x v="0"/>
  </r>
  <r>
    <x v="0"/>
    <s v="디에취덱스액 0.1％"/>
    <n v="300"/>
    <n v="55014"/>
    <n v="3300817"/>
    <n v="8362"/>
    <n v="2508600"/>
    <n v="792217"/>
    <n v="0.24000633782484759"/>
    <x v="15"/>
    <x v="0"/>
  </r>
  <r>
    <x v="0"/>
    <s v="SOL-CART B -KR- SOD.BIC.-CARTR. 650GR"/>
    <n v="260"/>
    <n v="19855"/>
    <n v="1290545"/>
    <n v="3600"/>
    <n v="936000"/>
    <n v="354545"/>
    <n v="0.27472501927480253"/>
    <x v="15"/>
    <x v="0"/>
  </r>
  <r>
    <x v="0"/>
    <s v="트리캅 C-50"/>
    <n v="12"/>
    <n v="35000"/>
    <n v="420000"/>
    <n v="18000"/>
    <n v="216000"/>
    <n v="204000"/>
    <n v="0.48571428571428571"/>
    <x v="15"/>
    <x v="0"/>
  </r>
  <r>
    <x v="0"/>
    <s v="AVF NEEDLE 15G"/>
    <n v="300"/>
    <n v="500"/>
    <n v="150000"/>
    <n v="435"/>
    <n v="130500"/>
    <n v="19500"/>
    <n v="0.13"/>
    <x v="15"/>
    <x v="0"/>
  </r>
  <r>
    <x v="0"/>
    <s v="AVF NEEDLE 16G"/>
    <n v="600"/>
    <n v="500"/>
    <n v="300000"/>
    <n v="435"/>
    <n v="261000"/>
    <n v="39000"/>
    <n v="0.13"/>
    <x v="15"/>
    <x v="0"/>
  </r>
  <r>
    <x v="0"/>
    <s v="DIACAP PRO HIPS 13 PS-DIALYSER, (R), AP"/>
    <n v="200"/>
    <n v="36900"/>
    <n v="2460000"/>
    <n v="11300"/>
    <n v="2260000"/>
    <n v="200000"/>
    <n v="8.1300813008130079E-2"/>
    <x v="15"/>
    <x v="0"/>
  </r>
  <r>
    <x v="0"/>
    <s v="DIACAP PRO HIPS 16 PS-DIALYSER, (R), AP"/>
    <n v="80"/>
    <n v="24600"/>
    <n v="984000"/>
    <n v="11300"/>
    <n v="904000"/>
    <n v="80000"/>
    <n v="8.1300813008130079E-2"/>
    <x v="15"/>
    <x v="0"/>
  </r>
  <r>
    <x v="0"/>
    <s v="DIACAP PRO HIPS 19 PS-DIALYSER, (R), AP"/>
    <n v="60"/>
    <n v="25600"/>
    <n v="768000"/>
    <n v="11300"/>
    <n v="678000"/>
    <n v="90000"/>
    <n v="0.1171875"/>
    <x v="15"/>
    <x v="0"/>
  </r>
  <r>
    <x v="0"/>
    <s v="DIACAP ULTRA DF-ONLINE FILTER AP"/>
    <n v="6"/>
    <n v="89000"/>
    <n v="534000"/>
    <n v="55000"/>
    <n v="330000"/>
    <n v="204000"/>
    <n v="0.38202247191011235"/>
    <x v="15"/>
    <x v="0"/>
  </r>
  <r>
    <x v="0"/>
    <s v="Weigao Dialog HD Bloodline-3TPwD"/>
    <n v="260"/>
    <n v="18800"/>
    <n v="1222000"/>
    <n v="4200"/>
    <n v="1092000"/>
    <n v="130000"/>
    <n v="0.10638297872340426"/>
    <x v="15"/>
    <x v="0"/>
  </r>
  <r>
    <x v="1"/>
    <m/>
    <n v="17512"/>
    <n v="905768"/>
    <n v="11429362"/>
    <m/>
    <n v="9316100"/>
    <n v="2113262"/>
    <n v="0.1848976347061192"/>
    <x v="15"/>
    <x v="0"/>
  </r>
  <r>
    <x v="2"/>
    <s v="디에취덱스액 0.1％"/>
    <n v="270"/>
    <n v="44011"/>
    <n v="2970737"/>
    <n v="8362"/>
    <n v="2257740"/>
    <n v="712997"/>
    <n v="0.24000677273013396"/>
    <x v="15"/>
    <x v="0"/>
  </r>
  <r>
    <x v="2"/>
    <s v="SOL-CART B -KR- SOD.BIC.-CARTR. 650GR"/>
    <n v="240"/>
    <n v="9927"/>
    <n v="1191273"/>
    <n v="3600"/>
    <n v="864000"/>
    <n v="327273"/>
    <n v="0.27472544076798516"/>
    <x v="15"/>
    <x v="0"/>
  </r>
  <r>
    <x v="2"/>
    <s v="AVF NEEDLE 15G"/>
    <n v="300"/>
    <n v="500"/>
    <n v="150000"/>
    <n v="435"/>
    <n v="130500"/>
    <n v="19500"/>
    <n v="0.13"/>
    <x v="15"/>
    <x v="0"/>
  </r>
  <r>
    <x v="2"/>
    <s v="AVF NEEDLE 16G"/>
    <n v="600"/>
    <n v="500"/>
    <n v="300000"/>
    <n v="435"/>
    <n v="261000"/>
    <n v="39000"/>
    <n v="0.13"/>
    <x v="15"/>
    <x v="0"/>
  </r>
  <r>
    <x v="2"/>
    <s v="DIACAP PRO HIPS 13 PS-DIALYSER, (R), AP"/>
    <n v="180"/>
    <n v="24600"/>
    <n v="2214000"/>
    <n v="11300"/>
    <n v="2034000"/>
    <n v="180000"/>
    <n v="8.1300813008130079E-2"/>
    <x v="15"/>
    <x v="0"/>
  </r>
  <r>
    <x v="2"/>
    <s v="DIACAP PRO HIPS 16 PS-DIALYSER, (R), AP"/>
    <n v="80"/>
    <n v="12300"/>
    <n v="984000"/>
    <n v="11300"/>
    <n v="904000"/>
    <n v="80000"/>
    <n v="8.1300813008130079E-2"/>
    <x v="15"/>
    <x v="0"/>
  </r>
  <r>
    <x v="2"/>
    <s v="DIACAP PRO HIPS 19 PS-DIALYSER, (R), AP"/>
    <n v="80"/>
    <n v="12800"/>
    <n v="1024000"/>
    <n v="11300"/>
    <n v="904000"/>
    <n v="120000"/>
    <n v="0.1171875"/>
    <x v="15"/>
    <x v="0"/>
  </r>
  <r>
    <x v="2"/>
    <s v="Weigao Dialog HD Bloodline-3TPwD"/>
    <n v="240"/>
    <n v="9400"/>
    <n v="1128000"/>
    <n v="4200"/>
    <n v="1008000"/>
    <n v="120000"/>
    <n v="0.10638297872340426"/>
    <x v="15"/>
    <x v="0"/>
  </r>
  <r>
    <x v="3"/>
    <m/>
    <n v="1990"/>
    <n v="714038"/>
    <n v="9962010"/>
    <m/>
    <n v="8363240"/>
    <n v="1598770"/>
    <n v="0.16048668893124982"/>
    <x v="15"/>
    <x v="0"/>
  </r>
  <r>
    <x v="0"/>
    <s v="SOL-CART B -KR- SOD.BIC.-CARTR. 650GR [650G]"/>
    <n v="919"/>
    <n v="4964"/>
    <n v="4561916"/>
    <n v="3860"/>
    <n v="3547340"/>
    <n v="1014576"/>
    <n v="0.22240128928283642"/>
    <x v="16"/>
    <x v="0"/>
  </r>
  <r>
    <x v="0"/>
    <s v="디에취덱스액 0.1％ [10L]"/>
    <n v="360"/>
    <n v="11003"/>
    <n v="3960982"/>
    <n v="8362.0727272727272"/>
    <n v="3010346.1818181816"/>
    <n v="950635.81818181835"/>
    <n v="0.24000003488574762"/>
    <x v="16"/>
    <x v="0"/>
  </r>
  <r>
    <x v="0"/>
    <s v="디에취덱스액 0.15％ 1호 [10L]"/>
    <n v="70"/>
    <n v="10919"/>
    <n v="764336"/>
    <n v="8298.5090909090904"/>
    <n v="580895.63636363635"/>
    <n v="183440.36363636365"/>
    <n v="0.23999963842650829"/>
    <x v="16"/>
    <x v="0"/>
  </r>
  <r>
    <x v="0"/>
    <s v="트리캅 C-50 [C-50]"/>
    <n v="20"/>
    <n v="32000"/>
    <n v="640000"/>
    <n v="16000"/>
    <n v="320000"/>
    <n v="320000"/>
    <n v="0.5"/>
    <x v="16"/>
    <x v="0"/>
  </r>
  <r>
    <x v="0"/>
    <s v="AVF NEEDLE 15G [15G]"/>
    <n v="150"/>
    <n v="600"/>
    <n v="90000"/>
    <n v="435"/>
    <n v="65250"/>
    <n v="24750"/>
    <n v="0.27500000000000002"/>
    <x v="16"/>
    <x v="0"/>
  </r>
  <r>
    <x v="0"/>
    <s v="AVF NEEDLE 16G [16G]"/>
    <n v="1800"/>
    <n v="600"/>
    <n v="1080000"/>
    <n v="435"/>
    <n v="783000"/>
    <n v="297000"/>
    <n v="0.27500000000000002"/>
    <x v="16"/>
    <x v="0"/>
  </r>
  <r>
    <x v="0"/>
    <s v="AVF NEEDLE 17G [17G]"/>
    <n v="150"/>
    <n v="600"/>
    <n v="90000"/>
    <n v="435"/>
    <n v="65250"/>
    <n v="24750"/>
    <n v="0.27500000000000002"/>
    <x v="16"/>
    <x v="0"/>
  </r>
  <r>
    <x v="0"/>
    <s v="ELISIO-13H"/>
    <n v="48"/>
    <n v="14900"/>
    <n v="715200"/>
    <n v="9000"/>
    <n v="432000"/>
    <n v="283200"/>
    <n v="0.39597315436241609"/>
    <x v="16"/>
    <x v="0"/>
  </r>
  <r>
    <x v="0"/>
    <s v="Elisio-21H [2.1]"/>
    <n v="48"/>
    <n v="14900"/>
    <n v="715200"/>
    <n v="10000"/>
    <n v="480000"/>
    <n v="235200"/>
    <n v="0.32885906040268459"/>
    <x v="16"/>
    <x v="0"/>
  </r>
  <r>
    <x v="0"/>
    <s v="DIACAP PRO HIPS 13 PS-DIALYSER, (R), AP [1.3H]"/>
    <n v="320"/>
    <n v="14900"/>
    <n v="4768000"/>
    <n v="15000"/>
    <n v="4800000"/>
    <n v="-32000"/>
    <n v="-6.7114093959731542E-3"/>
    <x v="16"/>
    <x v="0"/>
  </r>
  <r>
    <x v="0"/>
    <s v="DIACAP PRO HIPS 16 PS-DIALYSER, (R), AP [1.6H]"/>
    <n v="420"/>
    <n v="14900"/>
    <n v="6258000"/>
    <n v="15000"/>
    <n v="6300000"/>
    <n v="-42000"/>
    <n v="-6.7114093959731542E-3"/>
    <x v="16"/>
    <x v="0"/>
  </r>
  <r>
    <x v="0"/>
    <s v="DIACAP PRO HIPS 19 PS-DIALYSER, (R), AP [1.9H]"/>
    <n v="40"/>
    <n v="14900"/>
    <n v="596000"/>
    <n v="15000"/>
    <n v="600000"/>
    <n v="-4000"/>
    <n v="-6.7114093959731542E-3"/>
    <x v="16"/>
    <x v="0"/>
  </r>
  <r>
    <x v="0"/>
    <s v="Weigao Dialog HD Bloodline-3TPwD [20PC]"/>
    <n v="900"/>
    <n v="6900"/>
    <n v="6210000"/>
    <n v="5000"/>
    <n v="4500000"/>
    <n v="1710000"/>
    <n v="0.27536231884057971"/>
    <x v="16"/>
    <x v="0"/>
  </r>
  <r>
    <x v="1"/>
    <m/>
    <n v="5245"/>
    <n v="147049"/>
    <n v="30449299"/>
    <m/>
    <n v="25484081.81818182"/>
    <n v="4965217.1818181798"/>
    <n v="0.16306507357749614"/>
    <x v="16"/>
    <x v="0"/>
  </r>
  <r>
    <x v="2"/>
    <s v="SOL-CART B -KR- SOD.BIC.-CARTR. 650GR [650G]"/>
    <n v="850"/>
    <n v="4964"/>
    <n v="4219091"/>
    <n v="3860"/>
    <n v="3281000"/>
    <n v="938091"/>
    <n v="0.22234433910053136"/>
    <x v="16"/>
    <x v="0"/>
  </r>
  <r>
    <x v="2"/>
    <s v="디에취덱스액 0.1％ [10L]"/>
    <n v="270"/>
    <n v="11003"/>
    <n v="2970736"/>
    <n v="8362.0727272727272"/>
    <n v="2257759.6363636362"/>
    <n v="712976.36363636376"/>
    <n v="0.2399999069713242"/>
    <x v="16"/>
    <x v="0"/>
  </r>
  <r>
    <x v="2"/>
    <s v="디에취덱스액 0.15％ 1호 [10L]"/>
    <n v="20"/>
    <n v="10919"/>
    <n v="218382"/>
    <n v="8298.5090909090904"/>
    <n v="165970.18181818182"/>
    <n v="52411.818181818177"/>
    <n v="0.24000063275278263"/>
    <x v="16"/>
    <x v="0"/>
  </r>
  <r>
    <x v="2"/>
    <s v="트리캅 C-50 [C-50]"/>
    <n v="24"/>
    <n v="32000"/>
    <n v="768000"/>
    <n v="16000"/>
    <n v="384000"/>
    <n v="384000"/>
    <n v="0.5"/>
    <x v="16"/>
    <x v="0"/>
  </r>
  <r>
    <x v="2"/>
    <s v="AVF NEEDLE 15G [15G]"/>
    <n v="150"/>
    <n v="600"/>
    <n v="90000"/>
    <n v="435"/>
    <n v="65250"/>
    <n v="24750"/>
    <n v="0.27500000000000002"/>
    <x v="16"/>
    <x v="0"/>
  </r>
  <r>
    <x v="2"/>
    <s v="AVF NEEDLE 16G [16G]"/>
    <n v="1500"/>
    <n v="600"/>
    <n v="900000"/>
    <n v="435"/>
    <n v="652500"/>
    <n v="247500"/>
    <n v="0.27500000000000002"/>
    <x v="16"/>
    <x v="0"/>
  </r>
  <r>
    <x v="2"/>
    <s v="AVF NEEDLE 17G [17G]"/>
    <n v="150"/>
    <n v="600"/>
    <n v="90000"/>
    <n v="435"/>
    <n v="65250"/>
    <n v="24750"/>
    <n v="0.27500000000000002"/>
    <x v="16"/>
    <x v="0"/>
  </r>
  <r>
    <x v="2"/>
    <s v="ELISIO-13H"/>
    <n v="48"/>
    <n v="14900"/>
    <n v="715200"/>
    <n v="9000"/>
    <n v="432000"/>
    <n v="283200"/>
    <n v="0.39597315436241609"/>
    <x v="16"/>
    <x v="0"/>
  </r>
  <r>
    <x v="2"/>
    <s v="Elisio-21H [2.1]"/>
    <n v="48"/>
    <n v="14900"/>
    <n v="715200"/>
    <n v="10000"/>
    <n v="480000"/>
    <n v="235200"/>
    <n v="0.32885906040268459"/>
    <x v="16"/>
    <x v="0"/>
  </r>
  <r>
    <x v="2"/>
    <s v="DIACAP PRO HIPS 13 PS-DIALYSER, (R), AP [1.3H]"/>
    <n v="240"/>
    <n v="14900"/>
    <n v="3576000"/>
    <n v="15000"/>
    <n v="3600000"/>
    <n v="-24000"/>
    <n v="-6.7114093959731542E-3"/>
    <x v="16"/>
    <x v="0"/>
  </r>
  <r>
    <x v="2"/>
    <s v="DIACAP PRO HIPS 16 PS-DIALYSER, (R), AP [1.6H]"/>
    <n v="320"/>
    <n v="14900"/>
    <n v="4768000"/>
    <n v="15000"/>
    <n v="4800000"/>
    <n v="-32000"/>
    <n v="-6.7114093959731542E-3"/>
    <x v="16"/>
    <x v="0"/>
  </r>
  <r>
    <x v="2"/>
    <s v="DIACAP PRO HIPS 19 PS-DIALYSER, (R), AP [1.9H]"/>
    <n v="40"/>
    <n v="14900"/>
    <n v="596000"/>
    <n v="15000"/>
    <n v="600000"/>
    <n v="-4000"/>
    <n v="-6.7114093959731542E-3"/>
    <x v="16"/>
    <x v="0"/>
  </r>
  <r>
    <x v="2"/>
    <s v="Weigao Dialog HD Bloodline-3TPwD [20PC]"/>
    <n v="860"/>
    <n v="6900"/>
    <n v="5934000"/>
    <n v="5000"/>
    <n v="4300000"/>
    <n v="1634000"/>
    <n v="0.27536231884057971"/>
    <x v="16"/>
    <x v="0"/>
  </r>
  <r>
    <x v="2"/>
    <s v="ABPM CUFF, MEDIUM, LATEXFR.+AIR HOSE"/>
    <n v="10"/>
    <n v="50000"/>
    <n v="500000"/>
    <n v="50000"/>
    <n v="500000"/>
    <n v="0"/>
    <n v="0"/>
    <x v="16"/>
    <x v="0"/>
  </r>
  <r>
    <x v="3"/>
    <m/>
    <n v="4530"/>
    <n v="192085"/>
    <n v="26060609"/>
    <m/>
    <n v="21583729.81818182"/>
    <n v="4476879.1818181798"/>
    <n v="0.17178720504260586"/>
    <x v="16"/>
    <x v="0"/>
  </r>
  <r>
    <x v="0"/>
    <s v="(생.냉)팬포틴프리필드/2000IU/6관"/>
    <n v="8"/>
    <n v="47836"/>
    <n v="382691"/>
    <n v="19137.272727272724"/>
    <n v="153098.18181818179"/>
    <n v="229592.81818181821"/>
    <n v="0.59994308249166617"/>
    <x v="17"/>
    <x v="0"/>
  </r>
  <r>
    <x v="0"/>
    <s v="네스벨프리필드시린지주60μg/0.5mL [60μg/0.5mL]"/>
    <n v="2"/>
    <n v="25740"/>
    <n v="51480"/>
    <n v="19820"/>
    <n v="39640"/>
    <n v="11840"/>
    <n v="0.22999222999222999"/>
    <x v="17"/>
    <x v="0"/>
  </r>
  <r>
    <x v="0"/>
    <s v="헤모시스에이지액 5.5L [5.5L]"/>
    <n v="90"/>
    <n v="8194"/>
    <n v="737427"/>
    <n v="6637"/>
    <n v="597330"/>
    <n v="140097"/>
    <n v="0.18998083878133021"/>
    <x v="17"/>
    <x v="0"/>
  </r>
  <r>
    <x v="0"/>
    <s v="헤모시스비액 6.3L [6.3L]"/>
    <n v="90"/>
    <n v="7570"/>
    <n v="681300"/>
    <n v="6132"/>
    <n v="551880"/>
    <n v="129420"/>
    <n v="0.18996036988110965"/>
    <x v="17"/>
    <x v="0"/>
  </r>
  <r>
    <x v="1"/>
    <m/>
    <n v="190"/>
    <n v="89340"/>
    <n v="1852898"/>
    <m/>
    <n v="1341948.1818181816"/>
    <n v="510949.81818181835"/>
    <n v="0.27575712110532707"/>
    <x v="17"/>
    <x v="0"/>
  </r>
  <r>
    <x v="2"/>
    <s v="생물]마운자로프리필드펜주2.5mg/4PEN"/>
    <n v="9"/>
    <n v="262727"/>
    <n v="2364545"/>
    <n v="240181.81818181818"/>
    <n v="2161636.3636363638"/>
    <n v="202908.63636363624"/>
    <n v="8.5812973051321184E-2"/>
    <x v="17"/>
    <x v="0"/>
  </r>
  <r>
    <x v="2"/>
    <s v="헤모시스에이지액 5.5L [5.5L]"/>
    <n v="100"/>
    <n v="8194"/>
    <n v="819364"/>
    <n v="6637"/>
    <n v="663700"/>
    <n v="155664"/>
    <n v="0.18998149784466978"/>
    <x v="17"/>
    <x v="0"/>
  </r>
  <r>
    <x v="2"/>
    <s v="헤모시스비액 6.3L [6.3L]"/>
    <n v="100"/>
    <n v="7570"/>
    <n v="757000"/>
    <n v="6132"/>
    <n v="613200"/>
    <n v="143800"/>
    <n v="0.18996036988110965"/>
    <x v="17"/>
    <x v="0"/>
  </r>
  <r>
    <x v="3"/>
    <m/>
    <n v="209"/>
    <n v="278491"/>
    <n v="3940909"/>
    <m/>
    <n v="3438536.3636363638"/>
    <n v="502372.63636363624"/>
    <n v="0.12747633512056133"/>
    <x v="17"/>
    <x v="0"/>
  </r>
  <r>
    <x v="0"/>
    <s v="AVF NEEDLE 16G [16G]"/>
    <n v="2250"/>
    <n v="500"/>
    <n v="1125000"/>
    <n v="435"/>
    <n v="978750"/>
    <n v="146250"/>
    <n v="0.13"/>
    <x v="18"/>
    <x v="0"/>
  </r>
  <r>
    <x v="0"/>
    <s v="BAIN TUBING SETS FOR HD"/>
    <n v="960"/>
    <n v="5300"/>
    <n v="5088000"/>
    <n v="4200"/>
    <n v="4032000"/>
    <n v="1056000"/>
    <n v="0.20754716981132076"/>
    <x v="18"/>
    <x v="0"/>
  </r>
  <r>
    <x v="0"/>
    <s v="XEVONTA DIALYZER HI 15, GAMMA [HI 15]"/>
    <n v="420"/>
    <n v="11500"/>
    <n v="4830000"/>
    <n v="11200"/>
    <n v="4704000"/>
    <n v="126000"/>
    <n v="2.6086956521739129E-2"/>
    <x v="18"/>
    <x v="0"/>
  </r>
  <r>
    <x v="0"/>
    <s v="DIACAP ULTRA DF-ONLINE FILTER AP"/>
    <n v="24"/>
    <n v="60000"/>
    <n v="1440000"/>
    <n v="55000"/>
    <n v="1320000"/>
    <n v="120000"/>
    <n v="8.3333333333333329E-2"/>
    <x v="18"/>
    <x v="0"/>
  </r>
  <r>
    <x v="0"/>
    <s v="트리캅 C-50 [C-50]"/>
    <n v="18"/>
    <n v="25000"/>
    <n v="450000"/>
    <n v="16000"/>
    <n v="288000"/>
    <n v="162000"/>
    <n v="0.36"/>
    <x v="18"/>
    <x v="0"/>
  </r>
  <r>
    <x v="0"/>
    <s v="헤모시스비액 12.6L [12.6L]"/>
    <n v="615"/>
    <n v="11475"/>
    <n v="7057405"/>
    <n v="9295"/>
    <n v="5716425"/>
    <n v="1340980"/>
    <n v="0.19001035083008555"/>
    <x v="18"/>
    <x v="0"/>
  </r>
  <r>
    <x v="0"/>
    <s v="헤모시스에이지액 10L [10L]"/>
    <n v="615"/>
    <n v="11023"/>
    <n v="6778977"/>
    <n v="8928"/>
    <n v="5490720"/>
    <n v="1288257"/>
    <n v="0.19003708081617623"/>
    <x v="18"/>
    <x v="0"/>
  </r>
  <r>
    <x v="0"/>
    <s v="혈액투석여과기 EK-13H [24EA/BOX]"/>
    <n v="72"/>
    <n v="14000"/>
    <n v="1008000"/>
    <n v="13500"/>
    <n v="972000"/>
    <n v="36000"/>
    <n v="3.5714285714285712E-2"/>
    <x v="18"/>
    <x v="0"/>
  </r>
  <r>
    <x v="0"/>
    <s v="혈액투석여과기 EK-15H [24EA/1BOX]"/>
    <n v="408"/>
    <n v="14000"/>
    <n v="5712000"/>
    <n v="13500"/>
    <n v="5508000"/>
    <n v="204000"/>
    <n v="3.5714285714285712E-2"/>
    <x v="18"/>
    <x v="0"/>
  </r>
  <r>
    <x v="0"/>
    <s v="혈액투석여과기 EK-17H [24EA/1BOX]"/>
    <n v="144"/>
    <n v="14000"/>
    <n v="2016000"/>
    <n v="13500"/>
    <n v="1944000"/>
    <n v="72000"/>
    <n v="3.5714285714285712E-2"/>
    <x v="18"/>
    <x v="0"/>
  </r>
  <r>
    <x v="0"/>
    <s v="Elisio-21H [2.1]"/>
    <n v="120"/>
    <n v="14000"/>
    <n v="1680000"/>
    <n v="14300"/>
    <n v="1716000"/>
    <n v="-36000"/>
    <n v="-2.1428571428571429E-2"/>
    <x v="18"/>
    <x v="0"/>
  </r>
  <r>
    <x v="0"/>
    <s v="혈액회로 (A004DR/V600DR) HD [24EA/BOX]"/>
    <n v="288"/>
    <n v="6400"/>
    <n v="1843200"/>
    <n v="6000"/>
    <n v="1728000"/>
    <n v="115200"/>
    <n v="6.25E-2"/>
    <x v="18"/>
    <x v="0"/>
  </r>
  <r>
    <x v="0"/>
    <s v="혈액회로 (A004DR/V600DR) HDF [24EA/BOX]"/>
    <n v="96"/>
    <n v="6400"/>
    <n v="614400"/>
    <n v="6000"/>
    <n v="576000"/>
    <n v="38400"/>
    <n v="6.25E-2"/>
    <x v="18"/>
    <x v="0"/>
  </r>
  <r>
    <x v="0"/>
    <s v="혈액회로 A008DR(K) HDF [HDF 보액라인]"/>
    <n v="96"/>
    <n v="2000"/>
    <n v="192000"/>
    <n v="2000"/>
    <n v="192000"/>
    <n v="0"/>
    <n v="0"/>
    <x v="18"/>
    <x v="0"/>
  </r>
  <r>
    <x v="0"/>
    <s v="HYDROLINK NV-13U [24ea/BOX]"/>
    <n v="48"/>
    <n v="14300"/>
    <n v="686400"/>
    <n v="10000"/>
    <n v="480000"/>
    <n v="206400"/>
    <n v="0.30069930069930068"/>
    <x v="18"/>
    <x v="0"/>
  </r>
  <r>
    <x v="1"/>
    <m/>
    <n v="6174"/>
    <n v="209898"/>
    <n v="40521382"/>
    <m/>
    <n v="35645895"/>
    <n v="4875487"/>
    <n v="0.12031887263864791"/>
    <x v="18"/>
    <x v="0"/>
  </r>
  <r>
    <x v="2"/>
    <s v="AVF NEEDLE 16G [16G]"/>
    <n v="2550"/>
    <n v="500"/>
    <n v="1275000"/>
    <n v="435"/>
    <n v="1109250"/>
    <n v="165750"/>
    <n v="0.13"/>
    <x v="18"/>
    <x v="0"/>
  </r>
  <r>
    <x v="2"/>
    <s v="AVF NEEDLE 17G [17G]"/>
    <n v="150"/>
    <n v="500"/>
    <n v="75000"/>
    <n v="435"/>
    <n v="65250"/>
    <n v="9750"/>
    <n v="0.13"/>
    <x v="18"/>
    <x v="0"/>
  </r>
  <r>
    <x v="2"/>
    <s v="BAIN TUBING SETS FOR HD"/>
    <n v="984"/>
    <n v="5300"/>
    <n v="5215200"/>
    <n v="4200"/>
    <n v="4132800"/>
    <n v="1082400"/>
    <n v="0.20754716981132076"/>
    <x v="18"/>
    <x v="0"/>
  </r>
  <r>
    <x v="2"/>
    <s v="XEVONTA DIALYZER HI 15, GAMMA [HI 15]"/>
    <n v="600"/>
    <n v="11500"/>
    <n v="6900000"/>
    <n v="11200"/>
    <n v="6720000"/>
    <n v="180000"/>
    <n v="2.6086956521739129E-2"/>
    <x v="18"/>
    <x v="0"/>
  </r>
  <r>
    <x v="2"/>
    <s v="트리캅 C-50 [C-50]"/>
    <n v="18"/>
    <n v="25000"/>
    <n v="450000"/>
    <n v="16000"/>
    <n v="288000"/>
    <n v="162000"/>
    <n v="0.36"/>
    <x v="18"/>
    <x v="0"/>
  </r>
  <r>
    <x v="2"/>
    <s v="헤모시스비액 12.6L [12.6L]"/>
    <n v="620"/>
    <n v="11475"/>
    <n v="7114782"/>
    <n v="9295"/>
    <n v="5762900"/>
    <n v="1351882"/>
    <n v="0.19001031936045265"/>
    <x v="18"/>
    <x v="0"/>
  </r>
  <r>
    <x v="2"/>
    <s v="헤모시스에이지액 10L [10L]"/>
    <n v="620"/>
    <n v="11023"/>
    <n v="6834091"/>
    <n v="8928"/>
    <n v="5535360"/>
    <n v="1298731"/>
    <n v="0.19003712417642668"/>
    <x v="18"/>
    <x v="0"/>
  </r>
  <r>
    <x v="2"/>
    <s v="혈액투석여과기 EK-13H [24EA/BOX]"/>
    <n v="96"/>
    <n v="14000"/>
    <n v="1344000"/>
    <n v="13500"/>
    <n v="1296000"/>
    <n v="48000"/>
    <n v="3.5714285714285712E-2"/>
    <x v="18"/>
    <x v="0"/>
  </r>
  <r>
    <x v="2"/>
    <s v="혈액투석여과기 EK-15H [24EA/1BOX]"/>
    <n v="408"/>
    <n v="14000"/>
    <n v="5712000"/>
    <n v="13500"/>
    <n v="5508000"/>
    <n v="204000"/>
    <n v="3.5714285714285712E-2"/>
    <x v="18"/>
    <x v="0"/>
  </r>
  <r>
    <x v="2"/>
    <s v="혈액투석여과기 EK-17H [24EA/1BOX]"/>
    <n v="216"/>
    <n v="14000"/>
    <n v="3024000"/>
    <n v="13500"/>
    <n v="2916000"/>
    <n v="108000"/>
    <n v="3.5714285714285712E-2"/>
    <x v="18"/>
    <x v="0"/>
  </r>
  <r>
    <x v="2"/>
    <s v="Elisio-21H [2.1]"/>
    <n v="192"/>
    <n v="14000"/>
    <n v="2688000"/>
    <n v="14300"/>
    <n v="2745600"/>
    <n v="-57600"/>
    <n v="-2.1428571428571429E-2"/>
    <x v="18"/>
    <x v="0"/>
  </r>
  <r>
    <x v="2"/>
    <s v="혈액회로 (A004DR/V600DR) HD [24EA/BOX]"/>
    <n v="408"/>
    <n v="6400"/>
    <n v="2611200"/>
    <n v="6000"/>
    <n v="2448000"/>
    <n v="163200"/>
    <n v="6.25E-2"/>
    <x v="18"/>
    <x v="0"/>
  </r>
  <r>
    <x v="2"/>
    <s v="혈액회로 (A004DR/V600DR) HDF [24EA/BOX]"/>
    <n v="24"/>
    <n v="6400"/>
    <n v="153600"/>
    <n v="6000"/>
    <n v="144000"/>
    <n v="9600"/>
    <n v="6.25E-2"/>
    <x v="18"/>
    <x v="0"/>
  </r>
  <r>
    <x v="2"/>
    <s v="혈액회로 A008DR(K) HDF [HDF 보액라인]"/>
    <n v="24"/>
    <n v="2000"/>
    <n v="48000"/>
    <n v="2000"/>
    <n v="48000"/>
    <n v="0"/>
    <n v="0"/>
    <x v="18"/>
    <x v="0"/>
  </r>
  <r>
    <x v="2"/>
    <s v="HYDROLINK NV-13U [24ea/BOX]"/>
    <n v="72"/>
    <n v="14300"/>
    <n v="1029600"/>
    <n v="10000"/>
    <n v="720000"/>
    <n v="309600"/>
    <n v="0.30069930069930068"/>
    <x v="18"/>
    <x v="0"/>
  </r>
  <r>
    <x v="2"/>
    <s v="헤모크린액"/>
    <n v="12"/>
    <n v="32000"/>
    <n v="384000"/>
    <n v="25000"/>
    <n v="300000"/>
    <n v="84000"/>
    <n v="0.21875"/>
    <x v="18"/>
    <x v="0"/>
  </r>
  <r>
    <x v="3"/>
    <m/>
    <n v="6993"/>
    <n v="187698"/>
    <n v="44858473"/>
    <m/>
    <n v="39739160"/>
    <n v="5119313"/>
    <n v="0.11412142807446879"/>
    <x v="18"/>
    <x v="0"/>
  </r>
  <r>
    <x v="0"/>
    <s v="AVF NEEDLE 16G [16G]"/>
    <n v="900"/>
    <n v="500"/>
    <n v="450000"/>
    <n v="435"/>
    <n v="391500"/>
    <n v="58500"/>
    <n v="0.13"/>
    <x v="19"/>
    <x v="2"/>
  </r>
  <r>
    <x v="0"/>
    <s v="AVF NEEDLE 17G [17G]"/>
    <n v="300"/>
    <n v="500"/>
    <n v="150000"/>
    <n v="435"/>
    <n v="130500"/>
    <n v="19500"/>
    <n v="0.13"/>
    <x v="19"/>
    <x v="2"/>
  </r>
  <r>
    <x v="0"/>
    <s v="DIACAP PRO HIPS 13 PS-DIALYSER, (R), AP [1.3H]"/>
    <n v="220"/>
    <n v="13400"/>
    <n v="2948000"/>
    <n v="14500"/>
    <n v="3190000"/>
    <n v="-242000"/>
    <n v="-8.2089552238805971E-2"/>
    <x v="19"/>
    <x v="2"/>
  </r>
  <r>
    <x v="0"/>
    <s v="DIACAP PRO HIPS 16 PS-DIALYSER, (R), AP [1.6H]"/>
    <n v="220"/>
    <n v="14400"/>
    <n v="3168000"/>
    <n v="14500"/>
    <n v="3190000"/>
    <n v="-22000"/>
    <n v="-6.9444444444444441E-3"/>
    <x v="19"/>
    <x v="2"/>
  </r>
  <r>
    <x v="0"/>
    <s v="DIACAP PRO HIPS 19 PS-DIALYSER, (R), AP [1.9H]"/>
    <n v="140"/>
    <n v="15400"/>
    <n v="2156000"/>
    <n v="14500"/>
    <n v="2030000"/>
    <n v="126000"/>
    <n v="5.844155844155844E-2"/>
    <x v="19"/>
    <x v="2"/>
  </r>
  <r>
    <x v="0"/>
    <s v="DIACAP PRO LOPS 16 PS-DIALYSER, (R), AP [16L]"/>
    <n v="40"/>
    <n v="15000"/>
    <n v="600000"/>
    <n v="14500"/>
    <n v="580000"/>
    <n v="20000"/>
    <n v="3.3333333333333333E-2"/>
    <x v="19"/>
    <x v="2"/>
  </r>
  <r>
    <x v="0"/>
    <s v="BL Dialog DEHT 8x12,3 TP, DR.BAG PO [HDF]"/>
    <n v="25"/>
    <n v="7600"/>
    <n v="190000"/>
    <n v="6000"/>
    <n v="150000"/>
    <n v="40000"/>
    <n v="0.21052631578947367"/>
    <x v="19"/>
    <x v="2"/>
  </r>
  <r>
    <x v="0"/>
    <s v="BAIN TUBING SETS FOR HD"/>
    <n v="672"/>
    <n v="6600"/>
    <n v="4435200"/>
    <n v="5000"/>
    <n v="3360000"/>
    <n v="1075200"/>
    <n v="0.24242424242424243"/>
    <x v="19"/>
    <x v="2"/>
  </r>
  <r>
    <x v="0"/>
    <s v="XEVONTA DIALYZER HI 23, GAMMA [HI 23]"/>
    <n v="100"/>
    <n v="18400"/>
    <n v="1840000"/>
    <n v="15500"/>
    <n v="1550000"/>
    <n v="290000"/>
    <n v="0.15760869565217392"/>
    <x v="19"/>
    <x v="2"/>
  </r>
  <r>
    <x v="0"/>
    <s v="트리캅 C-50 [C-50]"/>
    <n v="12"/>
    <n v="28000"/>
    <n v="336000"/>
    <n v="16000"/>
    <n v="192000"/>
    <n v="144000"/>
    <n v="0.42857142857142855"/>
    <x v="19"/>
    <x v="2"/>
  </r>
  <r>
    <x v="0"/>
    <s v="DIACAP ULTRA DF-ONLINE FILTER AP"/>
    <n v="6"/>
    <n v="68000"/>
    <n v="408000"/>
    <n v="55000"/>
    <n v="330000"/>
    <n v="78000"/>
    <n v="0.19117647058823528"/>
    <x v="19"/>
    <x v="2"/>
  </r>
  <r>
    <x v="0"/>
    <s v="HYDROLINK NV-13U [24ea/BOX]"/>
    <n v="48"/>
    <n v="17000"/>
    <n v="816000"/>
    <n v="11500"/>
    <n v="552000"/>
    <n v="264000"/>
    <n v="0.3235294117647059"/>
    <x v="19"/>
    <x v="2"/>
  </r>
  <r>
    <x v="0"/>
    <s v="SOL-CART B -KR- SOD.BIC.-CARTR. 650GR [650G]"/>
    <n v="750"/>
    <n v="4964"/>
    <n v="3722727"/>
    <n v="3860"/>
    <n v="2895000"/>
    <n v="827727"/>
    <n v="0.22234426537320626"/>
    <x v="19"/>
    <x v="2"/>
  </r>
  <r>
    <x v="0"/>
    <s v="헤모시스에이지액 5.5L [5.5L]"/>
    <n v="710"/>
    <n v="8194"/>
    <n v="5817482"/>
    <n v="6227"/>
    <n v="4421170"/>
    <n v="1396312"/>
    <n v="0.24001999490501216"/>
    <x v="19"/>
    <x v="2"/>
  </r>
  <r>
    <x v="0"/>
    <s v="멀티빅무칼륨액_(5l)"/>
    <n v="20"/>
    <n v="13213"/>
    <n v="264255"/>
    <n v="12618"/>
    <n v="252360"/>
    <n v="11895"/>
    <n v="4.5013339388091052E-2"/>
    <x v="19"/>
    <x v="2"/>
  </r>
  <r>
    <x v="0"/>
    <s v="멀티빅2칼륨액5L_(5L)"/>
    <n v="80"/>
    <n v="13330"/>
    <n v="1066400"/>
    <n v="12730"/>
    <n v="1018400"/>
    <n v="48000"/>
    <n v="4.5011252813203298E-2"/>
    <x v="19"/>
    <x v="2"/>
  </r>
  <r>
    <x v="0"/>
    <s v="멀티빅4칼륨액5L_(5L)"/>
    <n v="20"/>
    <n v="13330"/>
    <n v="266600"/>
    <n v="12730"/>
    <n v="254600"/>
    <n v="12000"/>
    <n v="4.5011252813203298E-2"/>
    <x v="19"/>
    <x v="2"/>
  </r>
  <r>
    <x v="0"/>
    <s v="multiFiltratePRO Kit HDF 600"/>
    <n v="5"/>
    <n v="99555"/>
    <n v="497773"/>
    <n v="95075"/>
    <n v="475375"/>
    <n v="22398"/>
    <n v="4.4996414028081071E-2"/>
    <x v="19"/>
    <x v="2"/>
  </r>
  <r>
    <x v="1"/>
    <m/>
    <n v="4268"/>
    <n v="357385"/>
    <n v="29132437"/>
    <m/>
    <n v="24962905"/>
    <n v="4169532"/>
    <n v="0.14312335078592978"/>
    <x v="19"/>
    <x v="2"/>
  </r>
  <r>
    <x v="2"/>
    <s v="Multifiltrate Pro"/>
    <n v="1"/>
    <n v="26000000"/>
    <n v="26000000"/>
    <n v="20600000"/>
    <n v="20600000"/>
    <n v="5400000"/>
    <n v="0.2076923076923077"/>
    <x v="19"/>
    <x v="2"/>
  </r>
  <r>
    <x v="2"/>
    <s v="multiFiltratePRO Kit HDF 600"/>
    <n v="5"/>
    <n v="99555"/>
    <n v="497773"/>
    <n v="95075"/>
    <n v="475375"/>
    <n v="22398"/>
    <n v="4.4996414028081071E-2"/>
    <x v="19"/>
    <x v="2"/>
  </r>
  <r>
    <x v="2"/>
    <s v="SOL-CART B -KR- SOD.BIC.-CARTR. 650GR [650G]"/>
    <n v="600"/>
    <n v="4964"/>
    <n v="2978182"/>
    <n v="3860"/>
    <n v="2316000"/>
    <n v="662182"/>
    <n v="0.22234436982024605"/>
    <x v="19"/>
    <x v="2"/>
  </r>
  <r>
    <x v="2"/>
    <s v="헤모시스에이지액 5.5L [5.5L]"/>
    <n v="440"/>
    <n v="8194"/>
    <n v="3605200"/>
    <n v="6227"/>
    <n v="2739880"/>
    <n v="865320"/>
    <n v="0.24001997115277932"/>
    <x v="19"/>
    <x v="2"/>
  </r>
  <r>
    <x v="2"/>
    <s v="AVF NEEDLE 16G [16G]"/>
    <n v="900"/>
    <n v="500"/>
    <n v="450000"/>
    <n v="435"/>
    <n v="391500"/>
    <n v="58500"/>
    <n v="0.13"/>
    <x v="19"/>
    <x v="2"/>
  </r>
  <r>
    <x v="2"/>
    <s v="AVF NEEDLE 17G [17G]"/>
    <n v="150"/>
    <n v="500"/>
    <n v="75000"/>
    <n v="435"/>
    <n v="65250"/>
    <n v="9750"/>
    <n v="0.13"/>
    <x v="19"/>
    <x v="2"/>
  </r>
  <r>
    <x v="2"/>
    <s v="DIACAP PRO HIPS 13 PS-DIALYSER, (R), AP [1.3H]"/>
    <n v="140"/>
    <n v="13400"/>
    <n v="1876000"/>
    <n v="14500"/>
    <n v="2030000"/>
    <n v="-154000"/>
    <n v="-8.2089552238805971E-2"/>
    <x v="19"/>
    <x v="2"/>
  </r>
  <r>
    <x v="2"/>
    <s v="DIACAP PRO HIPS 16 PS-DIALYSER, (R), AP [1.6H]"/>
    <n v="120"/>
    <n v="14400"/>
    <n v="1728000"/>
    <n v="14500"/>
    <n v="1740000"/>
    <n v="-12000"/>
    <n v="-6.9444444444444441E-3"/>
    <x v="19"/>
    <x v="2"/>
  </r>
  <r>
    <x v="2"/>
    <s v="DIACAP PRO HIPS 19 PS-DIALYSER, (R), AP [1.9H]"/>
    <n v="80"/>
    <n v="15400"/>
    <n v="1232000"/>
    <n v="14500"/>
    <n v="1160000"/>
    <n v="72000"/>
    <n v="5.844155844155844E-2"/>
    <x v="19"/>
    <x v="2"/>
  </r>
  <r>
    <x v="2"/>
    <s v="DIACAP PRO LOPS 16 PS-DIALYSER, (R), AP [16L]"/>
    <n v="20"/>
    <n v="15000"/>
    <n v="300000"/>
    <n v="14500"/>
    <n v="290000"/>
    <n v="10000"/>
    <n v="3.3333333333333333E-2"/>
    <x v="19"/>
    <x v="2"/>
  </r>
  <r>
    <x v="2"/>
    <s v="BL Dialog DEHT 8x12,3 TP, DR.BAG PO [HDF]"/>
    <n v="50"/>
    <n v="7600"/>
    <n v="380000"/>
    <n v="6000"/>
    <n v="300000"/>
    <n v="80000"/>
    <n v="0.21052631578947367"/>
    <x v="19"/>
    <x v="2"/>
  </r>
  <r>
    <x v="2"/>
    <s v="BAIN TUBING SETS FOR HD"/>
    <n v="550"/>
    <n v="6600"/>
    <n v="3630000"/>
    <n v="5000"/>
    <n v="2750000"/>
    <n v="880000"/>
    <n v="0.24242424242424243"/>
    <x v="19"/>
    <x v="2"/>
  </r>
  <r>
    <x v="2"/>
    <s v="XEVONTA DIALYZER HI 23, GAMMA [HI 23]"/>
    <n v="60"/>
    <n v="18400"/>
    <n v="1104000"/>
    <n v="15500"/>
    <n v="930000"/>
    <n v="174000"/>
    <n v="0.15760869565217392"/>
    <x v="19"/>
    <x v="2"/>
  </r>
  <r>
    <x v="2"/>
    <s v="트리캅 C-50 [C-50]"/>
    <n v="16"/>
    <n v="28000"/>
    <n v="448000"/>
    <n v="16000"/>
    <n v="256000"/>
    <n v="192000"/>
    <n v="0.42857142857142855"/>
    <x v="19"/>
    <x v="2"/>
  </r>
  <r>
    <x v="2"/>
    <s v="DIACAP ULTRA DF-ONLINE FILTER AP"/>
    <n v="6"/>
    <n v="68000"/>
    <n v="408000"/>
    <n v="55000"/>
    <n v="330000"/>
    <n v="78000"/>
    <n v="0.19117647058823528"/>
    <x v="19"/>
    <x v="2"/>
  </r>
  <r>
    <x v="3"/>
    <m/>
    <n v="3238"/>
    <n v="26307112"/>
    <n v="44712155"/>
    <m/>
    <n v="36374005"/>
    <n v="8338150"/>
    <n v="0.1864850844250294"/>
    <x v="19"/>
    <x v="2"/>
  </r>
  <r>
    <x v="0"/>
    <s v="헤모시스에이지액 10L"/>
    <n v="698"/>
    <n v="11022.726361031519"/>
    <n v="7693863"/>
    <n v="8928"/>
    <n v="6231744"/>
    <n v="1462119"/>
    <n v="0.19003704640958644"/>
    <x v="20"/>
    <x v="0"/>
  </r>
  <r>
    <x v="0"/>
    <s v="SOL-CART B -KR- SOD.BIC.-CARTR. 650GR"/>
    <n v="1940"/>
    <n v="4963.6360824742269"/>
    <n v="9629454"/>
    <n v="3600"/>
    <n v="6984000"/>
    <n v="2645454"/>
    <n v="0.27472523364253049"/>
    <x v="20"/>
    <x v="0"/>
  </r>
  <r>
    <x v="0"/>
    <s v="나파스타주50mg"/>
    <n v="40"/>
    <n v="94000"/>
    <n v="3760000"/>
    <n v="65800"/>
    <n v="2632000"/>
    <n v="1128000"/>
    <n v="0.3"/>
    <x v="20"/>
    <x v="0"/>
  </r>
  <r>
    <x v="0"/>
    <s v="그린헥시딘스틱스왑액"/>
    <n v="17"/>
    <n v="10454.529411764706"/>
    <n v="177727"/>
    <n v="7727"/>
    <n v="131359"/>
    <n v="46368"/>
    <n v="0.26089451799670282"/>
    <x v="20"/>
    <x v="0"/>
  </r>
  <r>
    <x v="1"/>
    <m/>
    <n v="2695"/>
    <m/>
    <n v="21261044"/>
    <m/>
    <n v="15979103"/>
    <n v="5281941"/>
    <n v="0.24843281449396371"/>
    <x v="20"/>
    <x v="0"/>
  </r>
  <r>
    <x v="2"/>
    <s v="헤모시스에이지액 10L"/>
    <n v="650"/>
    <n v="11022.727692307692"/>
    <n v="7164773"/>
    <n v="8928"/>
    <n v="5803200"/>
    <n v="1361573"/>
    <n v="0.19003714423332044"/>
    <x v="20"/>
    <x v="0"/>
  </r>
  <r>
    <x v="2"/>
    <s v="SOL-CART B -KR- SOD.BIC.-CARTR. 650GR"/>
    <n v="1440"/>
    <n v="4963.6361111111109"/>
    <n v="7147636"/>
    <n v="3600"/>
    <n v="5184000"/>
    <n v="1963636"/>
    <n v="0.27472523782688429"/>
    <x v="20"/>
    <x v="0"/>
  </r>
  <r>
    <x v="2"/>
    <s v="나파스타주50mg"/>
    <n v="60"/>
    <n v="94000"/>
    <n v="5640000"/>
    <n v="65800"/>
    <n v="3948000"/>
    <n v="1692000"/>
    <n v="0.3"/>
    <x v="20"/>
    <x v="0"/>
  </r>
  <r>
    <x v="2"/>
    <s v="그린헥시딘스틱스왑액"/>
    <n v="30"/>
    <n v="10454.533333333333"/>
    <n v="313636"/>
    <n v="7727"/>
    <n v="231810"/>
    <n v="81826"/>
    <n v="0.26089479524034231"/>
    <x v="20"/>
    <x v="0"/>
  </r>
  <r>
    <x v="3"/>
    <m/>
    <n v="2180"/>
    <m/>
    <n v="20266045"/>
    <m/>
    <n v="15167010"/>
    <n v="5099035"/>
    <n v="0.2516048395234492"/>
    <x v="20"/>
    <x v="0"/>
  </r>
  <r>
    <x v="0"/>
    <s v="에포카인프리필드주10000IU/mL(1mL) [10000IU/mL(1mL)]"/>
    <n v="80"/>
    <n v="108115"/>
    <n v="8649164"/>
    <n v="54060"/>
    <n v="4324800"/>
    <n v="4324364"/>
    <n v="0.49997479525188793"/>
    <x v="21"/>
    <x v="0"/>
  </r>
  <r>
    <x v="0"/>
    <s v="대한멸균생리식염수(생리식염주사액) [1000ML]"/>
    <n v="690"/>
    <n v="1450"/>
    <n v="1000500"/>
    <n v="1319"/>
    <n v="910110"/>
    <n v="90390"/>
    <n v="9.0344827586206891E-2"/>
    <x v="21"/>
    <x v="0"/>
  </r>
  <r>
    <x v="0"/>
    <s v="대한멸균생리식염수100ml [100ML]"/>
    <n v="50"/>
    <n v="1009"/>
    <n v="50455"/>
    <n v="918"/>
    <n v="45900"/>
    <n v="4555"/>
    <n v="9.027846595976613E-2"/>
    <x v="21"/>
    <x v="0"/>
  </r>
  <r>
    <x v="0"/>
    <s v="대한생리식염주사액20ml [20ml]"/>
    <n v="3"/>
    <n v="12500"/>
    <n v="37500"/>
    <n v="11364"/>
    <n v="34092"/>
    <n v="3408"/>
    <n v="9.0880000000000002E-2"/>
    <x v="21"/>
    <x v="0"/>
  </r>
  <r>
    <x v="0"/>
    <s v="네프리솔(250ml/백) [250ml]"/>
    <n v="40"/>
    <n v="5159"/>
    <n v="206364"/>
    <n v="4273"/>
    <n v="170920"/>
    <n v="35444"/>
    <n v="0.17175476342772963"/>
    <x v="21"/>
    <x v="0"/>
  </r>
  <r>
    <x v="0"/>
    <s v="디에취덱스액 0.1％ [10L]"/>
    <n v="240"/>
    <n v="11003"/>
    <n v="2640655"/>
    <n v="8362"/>
    <n v="2006880"/>
    <n v="633775"/>
    <n v="0.24000674075182105"/>
    <x v="21"/>
    <x v="0"/>
  </r>
  <r>
    <x v="0"/>
    <s v="에이에취디액 1호 A액 10L"/>
    <n v="192"/>
    <n v="9837"/>
    <n v="1888756"/>
    <n v="7476"/>
    <n v="1435392"/>
    <n v="453364"/>
    <n v="0.24003312233025334"/>
    <x v="21"/>
    <x v="0"/>
  </r>
  <r>
    <x v="0"/>
    <s v="에이에취디액1호 B액 12.6L"/>
    <n v="420"/>
    <n v="11083"/>
    <n v="4654745"/>
    <n v="8423"/>
    <n v="3537660"/>
    <n v="1117085"/>
    <n v="0.2399884419017583"/>
    <x v="21"/>
    <x v="0"/>
  </r>
  <r>
    <x v="0"/>
    <s v="중외헤파린나트륨주사액1000IU_(20KI.U/20mL) [20/mL/병]"/>
    <n v="10"/>
    <n v="39318"/>
    <n v="393182"/>
    <n v="35779"/>
    <n v="357790"/>
    <n v="35392"/>
    <n v="9.0014293635008721E-2"/>
    <x v="21"/>
    <x v="0"/>
  </r>
  <r>
    <x v="0"/>
    <s v="HYDROLINK NV-13U [24ea/BOX]"/>
    <n v="48"/>
    <n v="10900"/>
    <n v="523200"/>
    <n v="10000"/>
    <n v="480000"/>
    <n v="43200"/>
    <n v="8.2568807339449546E-2"/>
    <x v="21"/>
    <x v="0"/>
  </r>
  <r>
    <x v="0"/>
    <s v="네스티칼현탁액 20mL*20P"/>
    <n v="9"/>
    <n v="12527"/>
    <n v="112745"/>
    <n v="10030"/>
    <n v="90270"/>
    <n v="22475"/>
    <n v="0.1993436516031753"/>
    <x v="21"/>
    <x v="0"/>
  </r>
  <r>
    <x v="0"/>
    <s v="레날민정60mg 300T"/>
    <n v="2"/>
    <n v="15818"/>
    <n v="31636"/>
    <n v="14710.90909090909"/>
    <n v="29421.81818181818"/>
    <n v="2214.1818181818198"/>
    <n v="6.9989310221956633E-2"/>
    <x v="21"/>
    <x v="0"/>
  </r>
  <r>
    <x v="0"/>
    <s v="미쎄라프리필드주150mcg [0.3ml]"/>
    <n v="5"/>
    <n v="118427"/>
    <n v="592136"/>
    <n v="113689.99999999999"/>
    <n v="568449.99999999988"/>
    <n v="23686.000000000116"/>
    <n v="4.0000945728684151E-2"/>
    <x v="21"/>
    <x v="0"/>
  </r>
  <r>
    <x v="0"/>
    <s v="유한세파졸린주사1000mg [1000mg]"/>
    <n v="1"/>
    <n v="8291"/>
    <n v="8291"/>
    <n v="7636.363636363636"/>
    <n v="7636.363636363636"/>
    <n v="654.63636363636397"/>
    <n v="7.895746757162754E-2"/>
    <x v="21"/>
    <x v="0"/>
  </r>
  <r>
    <x v="0"/>
    <s v="이노엔반코마이신염산염주 500mg/10ml"/>
    <n v="1"/>
    <n v="71000"/>
    <n v="71000"/>
    <n v="67450"/>
    <n v="67450"/>
    <n v="3550"/>
    <n v="0.05"/>
    <x v="21"/>
    <x v="0"/>
  </r>
  <r>
    <x v="1"/>
    <m/>
    <n v="1790"/>
    <n v="437887"/>
    <n v="20860329"/>
    <m/>
    <n v="14066772.181818182"/>
    <n v="6793556.8181818184"/>
    <n v="0.3256687283398943"/>
    <x v="21"/>
    <x v="0"/>
  </r>
  <r>
    <x v="2"/>
    <s v="에포카인프리필드주10000IU/mL(1mL) [10000IU/mL(1mL)]"/>
    <n v="50"/>
    <n v="108115"/>
    <n v="5405727"/>
    <n v="54060"/>
    <n v="2703000"/>
    <n v="2702727"/>
    <n v="0.49997474900230809"/>
    <x v="21"/>
    <x v="0"/>
  </r>
  <r>
    <x v="2"/>
    <s v="대한멸균생리식염수(생리식염주사액) [1000ML]"/>
    <n v="720"/>
    <n v="1450"/>
    <n v="1044000"/>
    <n v="1319"/>
    <n v="949680"/>
    <n v="94320"/>
    <n v="9.0344827586206891E-2"/>
    <x v="21"/>
    <x v="0"/>
  </r>
  <r>
    <x v="2"/>
    <s v="대한생리식염주사액20ml [20ml]"/>
    <n v="2"/>
    <n v="12500"/>
    <n v="25000"/>
    <n v="11364"/>
    <n v="22728"/>
    <n v="2272"/>
    <n v="9.0880000000000002E-2"/>
    <x v="21"/>
    <x v="0"/>
  </r>
  <r>
    <x v="2"/>
    <s v="대한디클로페낙주2ml [2ml]"/>
    <n v="1"/>
    <n v="23136"/>
    <n v="23136"/>
    <n v="12727.272727272726"/>
    <n v="12727.272727272726"/>
    <n v="10408.727272727274"/>
    <n v="0.44989312209229226"/>
    <x v="21"/>
    <x v="0"/>
  </r>
  <r>
    <x v="2"/>
    <s v="디에취덱스액 0.1％ [10L]"/>
    <n v="180"/>
    <n v="11003"/>
    <n v="1980491"/>
    <n v="8362"/>
    <n v="1505160"/>
    <n v="475331"/>
    <n v="0.24000664481686612"/>
    <x v="21"/>
    <x v="0"/>
  </r>
  <r>
    <x v="2"/>
    <s v="에이에취디액 1호 A액 10L"/>
    <n v="175"/>
    <n v="9837"/>
    <n v="1721523"/>
    <n v="7476"/>
    <n v="1308300"/>
    <n v="413223"/>
    <n v="0.24003338903982113"/>
    <x v="21"/>
    <x v="0"/>
  </r>
  <r>
    <x v="2"/>
    <s v="에이에취디액1호 B액 12.6L"/>
    <n v="320"/>
    <n v="11083"/>
    <n v="3546473"/>
    <n v="8423"/>
    <n v="2695360"/>
    <n v="851113"/>
    <n v="0.23998857456408099"/>
    <x v="21"/>
    <x v="0"/>
  </r>
  <r>
    <x v="2"/>
    <s v="중외헤파린나트륨주사액1000IU_(20KI.U/20mL) [20/mL/병]"/>
    <n v="20"/>
    <n v="39318"/>
    <n v="786364"/>
    <n v="35779"/>
    <n v="715580"/>
    <n v="70784"/>
    <n v="9.0014293635008721E-2"/>
    <x v="21"/>
    <x v="0"/>
  </r>
  <r>
    <x v="2"/>
    <s v="헤파린주 [25000IU/5ml/10A]"/>
    <n v="10"/>
    <n v="40818"/>
    <n v="408182"/>
    <n v="37143.63636363636"/>
    <n v="371436.36363636359"/>
    <n v="36745.636363636411"/>
    <n v="9.0022677050032612E-2"/>
    <x v="21"/>
    <x v="0"/>
  </r>
  <r>
    <x v="2"/>
    <s v="HYDROLINK NV-13U [24ea/BOX]"/>
    <n v="48"/>
    <n v="10900"/>
    <n v="523200"/>
    <n v="10000"/>
    <n v="480000"/>
    <n v="43200"/>
    <n v="8.2568807339449546E-2"/>
    <x v="21"/>
    <x v="0"/>
  </r>
  <r>
    <x v="2"/>
    <s v="네스벨프리필드시린지주120μg/0.5mL [120μg/0.5mL]"/>
    <n v="10"/>
    <n v="38846"/>
    <n v="388464"/>
    <n v="29910.999999999996"/>
    <n v="299109.99999999994"/>
    <n v="89354.000000000058"/>
    <n v="0.23001874047530804"/>
    <x v="21"/>
    <x v="0"/>
  </r>
  <r>
    <x v="2"/>
    <s v="애니펜정 [300mg 500T]"/>
    <n v="1"/>
    <n v="51818"/>
    <n v="51818"/>
    <n v="49227.272727272721"/>
    <n v="49227.272727272721"/>
    <n v="2590.7272727272793"/>
    <n v="4.9996666654970844E-2"/>
    <x v="21"/>
    <x v="0"/>
  </r>
  <r>
    <x v="3"/>
    <m/>
    <n v="1537"/>
    <n v="358825"/>
    <n v="15904378"/>
    <m/>
    <n v="11112308.90909091"/>
    <n v="4792069.0909090899"/>
    <n v="0.30130503003066766"/>
    <x v="21"/>
    <x v="0"/>
  </r>
  <r>
    <x v="0"/>
    <s v="에포틴플러스프리필드주10000IU/0.4mL [0.4mL]"/>
    <n v="20"/>
    <n v="65329"/>
    <n v="1306582"/>
    <n v="33318"/>
    <n v="666360"/>
    <n v="640222"/>
    <n v="0.48999756616882828"/>
    <x v="22"/>
    <x v="0"/>
  </r>
  <r>
    <x v="0"/>
    <s v="에포틴플러스프리필드주10000IU/0.6mL [0.6mL]"/>
    <n v="50"/>
    <n v="71007"/>
    <n v="3550364"/>
    <n v="36213"/>
    <n v="1810650"/>
    <n v="1739714"/>
    <n v="0.49001003840732948"/>
    <x v="22"/>
    <x v="0"/>
  </r>
  <r>
    <x v="0"/>
    <s v="에포틴플러스프리필드주10000IU/1mL [1mL]"/>
    <n v="30"/>
    <n v="102087"/>
    <n v="3062618"/>
    <n v="52064"/>
    <n v="1561920"/>
    <n v="1500698"/>
    <n v="0.49000495654371523"/>
    <x v="22"/>
    <x v="0"/>
  </r>
  <r>
    <x v="0"/>
    <s v="베노훼럼주/5ml/5A [5ml/5A]"/>
    <n v="1"/>
    <n v="23250"/>
    <n v="23250"/>
    <n v="20703.63636363636"/>
    <n v="20703.63636363636"/>
    <n v="2546.3636363636397"/>
    <n v="0.10952101661779096"/>
    <x v="22"/>
    <x v="0"/>
  </r>
  <r>
    <x v="0"/>
    <s v="카슈트현탁액 [20ml]"/>
    <n v="6"/>
    <n v="71818"/>
    <n v="430909"/>
    <n v="61045"/>
    <n v="366270"/>
    <n v="64639"/>
    <n v="0.15000614979032695"/>
    <x v="22"/>
    <x v="0"/>
  </r>
  <r>
    <x v="0"/>
    <s v="스토가정300T"/>
    <n v="5"/>
    <n v="41727"/>
    <n v="208636"/>
    <n v="38389"/>
    <n v="191945"/>
    <n v="16691"/>
    <n v="8.0000575164401164E-2"/>
    <x v="22"/>
    <x v="0"/>
  </r>
  <r>
    <x v="0"/>
    <s v="리나치올캡슐375mg/200C"/>
    <n v="7"/>
    <n v="9636"/>
    <n v="67455"/>
    <n v="8865"/>
    <n v="62055"/>
    <n v="5400"/>
    <n v="8.0053368912608405E-2"/>
    <x v="22"/>
    <x v="0"/>
  </r>
  <r>
    <x v="0"/>
    <s v="세비카정5/40 [28T]"/>
    <n v="10"/>
    <n v="19218"/>
    <n v="192182"/>
    <n v="18065"/>
    <n v="180650"/>
    <n v="11532"/>
    <n v="6.0005619673018283E-2"/>
    <x v="22"/>
    <x v="0"/>
  </r>
  <r>
    <x v="0"/>
    <s v="시그마트정5mg 500T [500T]"/>
    <n v="3"/>
    <n v="48636"/>
    <n v="145909"/>
    <n v="44745"/>
    <n v="134235"/>
    <n v="11674"/>
    <n v="8.0008772591135577E-2"/>
    <x v="22"/>
    <x v="0"/>
  </r>
  <r>
    <x v="0"/>
    <s v="네오신정 [1000정]"/>
    <n v="5"/>
    <n v="52727"/>
    <n v="263636"/>
    <n v="44818"/>
    <n v="224090"/>
    <n v="39546"/>
    <n v="0.15000227586520809"/>
    <x v="22"/>
    <x v="0"/>
  </r>
  <r>
    <x v="0"/>
    <s v="본키연질캅셀0.25ug 100C"/>
    <n v="5"/>
    <n v="21455"/>
    <n v="107273"/>
    <n v="19738"/>
    <n v="98690"/>
    <n v="8583"/>
    <n v="8.0010813531830011E-2"/>
    <x v="22"/>
    <x v="0"/>
  </r>
  <r>
    <x v="0"/>
    <s v="자니딥정 100T [100T]"/>
    <n v="20"/>
    <n v="33000"/>
    <n v="660000"/>
    <n v="30360"/>
    <n v="607200"/>
    <n v="52800"/>
    <n v="0.08"/>
    <x v="22"/>
    <x v="0"/>
  </r>
  <r>
    <x v="0"/>
    <s v="암로맥스정5mg 100T [5mg/100T]"/>
    <n v="10"/>
    <n v="23182"/>
    <n v="231818"/>
    <n v="17385.909090909088"/>
    <n v="173859.09090909088"/>
    <n v="57958.909090909117"/>
    <n v="0.25001901962276063"/>
    <x v="22"/>
    <x v="0"/>
  </r>
  <r>
    <x v="0"/>
    <s v="코푸정(한외) 1000T"/>
    <n v="5"/>
    <n v="33636"/>
    <n v="168182"/>
    <n v="31282"/>
    <n v="156410"/>
    <n v="11772"/>
    <n v="6.9995600004756756E-2"/>
    <x v="22"/>
    <x v="0"/>
  </r>
  <r>
    <x v="1"/>
    <m/>
    <n v="177"/>
    <n v="616710"/>
    <n v="10418814"/>
    <m/>
    <n v="6255037.7272727275"/>
    <n v="4163776.2727272725"/>
    <n v="0.39964013876505255"/>
    <x v="22"/>
    <x v="0"/>
  </r>
  <r>
    <x v="2"/>
    <s v="에포틴플러스프리필드주10000IU/0.4mL [0.4mL]"/>
    <n v="15"/>
    <n v="65329"/>
    <n v="979936"/>
    <n v="33318"/>
    <n v="499770"/>
    <n v="480166"/>
    <n v="0.48999730594651081"/>
    <x v="22"/>
    <x v="0"/>
  </r>
  <r>
    <x v="2"/>
    <s v="에포틴플러스프리필드주10000IU/0.6mL [0.6mL]"/>
    <n v="40"/>
    <n v="71007"/>
    <n v="2840291"/>
    <n v="36213"/>
    <n v="1448520"/>
    <n v="1391771"/>
    <n v="0.49001000249622312"/>
    <x v="22"/>
    <x v="0"/>
  </r>
  <r>
    <x v="2"/>
    <s v="에포틴플러스프리필드주10000IU/1mL [1mL]"/>
    <n v="15"/>
    <n v="102087"/>
    <n v="1531309"/>
    <n v="52064"/>
    <n v="780960"/>
    <n v="750349"/>
    <n v="0.49000495654371523"/>
    <x v="22"/>
    <x v="0"/>
  </r>
  <r>
    <x v="2"/>
    <s v="네오본주1ug 10A [1ug 10A]"/>
    <n v="10"/>
    <n v="28309"/>
    <n v="283091"/>
    <n v="21230.999999999996"/>
    <n v="212309.99999999997"/>
    <n v="70781.000000000029"/>
    <n v="0.25002914257252978"/>
    <x v="22"/>
    <x v="0"/>
  </r>
  <r>
    <x v="2"/>
    <s v="콩코르정2.5mg(머크) 30T"/>
    <n v="10"/>
    <n v="3273"/>
    <n v="32727"/>
    <n v="3076"/>
    <n v="30760"/>
    <n v="1967"/>
    <n v="6.0103278638433101E-2"/>
    <x v="22"/>
    <x v="0"/>
  </r>
  <r>
    <x v="2"/>
    <s v="페브릭정80mg 100T"/>
    <n v="10"/>
    <n v="28273"/>
    <n v="282727"/>
    <n v="26011"/>
    <n v="260110"/>
    <n v="22617"/>
    <n v="7.9995897102151547E-2"/>
    <x v="22"/>
    <x v="0"/>
  </r>
  <r>
    <x v="2"/>
    <s v="카두라엑스엘서방정4mg(비아트리스) 100T"/>
    <n v="5"/>
    <n v="27818"/>
    <n v="139091"/>
    <n v="25871"/>
    <n v="129355"/>
    <n v="9736"/>
    <n v="6.9997339871019693E-2"/>
    <x v="22"/>
    <x v="0"/>
  </r>
  <r>
    <x v="2"/>
    <s v="펜다운캡슐100mg 200T [200C]"/>
    <n v="5"/>
    <n v="29455"/>
    <n v="147273"/>
    <n v="26214"/>
    <n v="131070"/>
    <n v="16203"/>
    <n v="0.11002016662932106"/>
    <x v="22"/>
    <x v="0"/>
  </r>
  <r>
    <x v="2"/>
    <s v="파비라졸정10mg 28T [10mg/28T]"/>
    <n v="20"/>
    <n v="11556"/>
    <n v="231127"/>
    <n v="8667"/>
    <n v="173340"/>
    <n v="57787"/>
    <n v="0.25002271478451243"/>
    <x v="22"/>
    <x v="0"/>
  </r>
  <r>
    <x v="2"/>
    <s v="글리원정4mg 100T"/>
    <n v="1"/>
    <n v="24818"/>
    <n v="24818"/>
    <n v="22833"/>
    <n v="22833"/>
    <n v="1985"/>
    <n v="7.9982270932387786E-2"/>
    <x v="22"/>
    <x v="0"/>
  </r>
  <r>
    <x v="2"/>
    <s v="베노훼럼주/5ml/5A [5ml/5A]"/>
    <n v="1"/>
    <n v="23250"/>
    <n v="23250"/>
    <n v="20703.63636363636"/>
    <n v="20703.63636363636"/>
    <n v="2546.3636363636397"/>
    <n v="0.10952101661779096"/>
    <x v="22"/>
    <x v="0"/>
  </r>
  <r>
    <x v="2"/>
    <s v="플라메드정100T"/>
    <n v="3"/>
    <n v="56818"/>
    <n v="170455"/>
    <n v="52273"/>
    <n v="156819"/>
    <n v="13636"/>
    <n v="7.9997653339591093E-2"/>
    <x v="22"/>
    <x v="0"/>
  </r>
  <r>
    <x v="2"/>
    <s v="포리부틴정150mg 500T"/>
    <n v="2"/>
    <n v="46818"/>
    <n v="93636"/>
    <n v="43073"/>
    <n v="86146"/>
    <n v="7490"/>
    <n v="7.9990601905250119E-2"/>
    <x v="22"/>
    <x v="0"/>
  </r>
  <r>
    <x v="3"/>
    <m/>
    <n v="137"/>
    <n v="518812"/>
    <n v="6779731"/>
    <m/>
    <n v="3952696.6363636362"/>
    <n v="2827034.3636363638"/>
    <n v="0.41698326432661764"/>
    <x v="22"/>
    <x v="0"/>
  </r>
  <r>
    <x v="2"/>
    <s v="(생.냉)팬포틴프리필드/4000IU/6관"/>
    <n v="40"/>
    <n v="76773"/>
    <n v="3070909"/>
    <n v="30709.090909090908"/>
    <n v="1228363.6363636362"/>
    <n v="1842545.3636363638"/>
    <n v="0.5999999881586735"/>
    <x v="23"/>
    <x v="1"/>
  </r>
  <r>
    <x v="2"/>
    <s v="파리칼주1mg *10A"/>
    <n v="20"/>
    <n v="80727"/>
    <n v="1614545"/>
    <n v="48435.999999999993"/>
    <n v="968719.99999999988"/>
    <n v="645825.00000000012"/>
    <n v="0.40000433558680626"/>
    <x v="23"/>
    <x v="1"/>
  </r>
  <r>
    <x v="3"/>
    <m/>
    <n v="60"/>
    <n v="157500"/>
    <n v="4685454"/>
    <m/>
    <n v="2197083.6363636362"/>
    <n v="2488370.3636363638"/>
    <n v="0.53108415185302504"/>
    <x v="23"/>
    <x v="1"/>
  </r>
  <r>
    <x v="0"/>
    <s v="SOL-CART B -KR- SOD.BIC.-CARTR. 650GR [650G]"/>
    <n v="800"/>
    <n v="4964"/>
    <n v="3970909"/>
    <n v="3600"/>
    <n v="2880000"/>
    <n v="1090909"/>
    <n v="0.27472525812099952"/>
    <x v="24"/>
    <x v="2"/>
  </r>
  <r>
    <x v="0"/>
    <s v="케이바이카트761 5.5L"/>
    <n v="80"/>
    <n v="8439"/>
    <n v="675127"/>
    <n v="6750"/>
    <n v="540000"/>
    <n v="135127"/>
    <n v="0.20015049020406531"/>
    <x v="24"/>
    <x v="2"/>
  </r>
  <r>
    <x v="0"/>
    <s v="에취디졸비씨지에이액_(5.5L)"/>
    <n v="400"/>
    <n v="8194"/>
    <n v="3277455"/>
    <n v="6555"/>
    <n v="2622000"/>
    <n v="655455"/>
    <n v="0.19998901586749473"/>
    <x v="24"/>
    <x v="2"/>
  </r>
  <r>
    <x v="0"/>
    <s v="젠벨라정800mg 180T [180T]"/>
    <n v="15"/>
    <n v="64800"/>
    <n v="972000"/>
    <n v="45360"/>
    <n v="680400"/>
    <n v="291600"/>
    <n v="0.3"/>
    <x v="24"/>
    <x v="2"/>
  </r>
  <r>
    <x v="0"/>
    <s v="칼레그나정25mg 100정"/>
    <n v="1"/>
    <n v="116091"/>
    <n v="116091"/>
    <n v="58045"/>
    <n v="58045"/>
    <n v="58046"/>
    <n v="0.500004306966087"/>
    <x v="24"/>
    <x v="2"/>
  </r>
  <r>
    <x v="1"/>
    <m/>
    <n v="1296"/>
    <n v="202487"/>
    <n v="9011582"/>
    <m/>
    <n v="6780445"/>
    <n v="2231137"/>
    <n v="0.24758549608714653"/>
    <x v="24"/>
    <x v="2"/>
  </r>
  <r>
    <x v="2"/>
    <s v="SOL-CART B -KR- SOD.BIC.-CARTR. 650GR [650G]"/>
    <n v="640"/>
    <n v="4964"/>
    <n v="3176727"/>
    <n v="3600"/>
    <n v="2304000"/>
    <n v="872727"/>
    <n v="0.2747252124592387"/>
    <x v="24"/>
    <x v="2"/>
  </r>
  <r>
    <x v="2"/>
    <s v="케이바이카트761 5.5L"/>
    <n v="100"/>
    <n v="8439"/>
    <n v="843909"/>
    <n v="6750"/>
    <n v="675000"/>
    <n v="168909"/>
    <n v="0.20015072715186116"/>
    <x v="24"/>
    <x v="2"/>
  </r>
  <r>
    <x v="2"/>
    <s v="에취디졸비씨지에이액_(5.5L)"/>
    <n v="300"/>
    <n v="8194"/>
    <n v="2458091"/>
    <n v="6555"/>
    <n v="1966500"/>
    <n v="491591"/>
    <n v="0.19998893450242486"/>
    <x v="24"/>
    <x v="2"/>
  </r>
  <r>
    <x v="2"/>
    <s v="젠벨라정800mg 180T [180T]"/>
    <n v="15"/>
    <n v="64800"/>
    <n v="972000"/>
    <n v="45360"/>
    <n v="680400"/>
    <n v="291600"/>
    <n v="0.3"/>
    <x v="24"/>
    <x v="2"/>
  </r>
  <r>
    <x v="3"/>
    <m/>
    <n v="1055"/>
    <n v="86396"/>
    <n v="7450727"/>
    <m/>
    <n v="5625900"/>
    <n v="1824827"/>
    <n v="0.2449193212957608"/>
    <x v="24"/>
    <x v="2"/>
  </r>
  <r>
    <x v="0"/>
    <s v="헤모시스비액 12.6L [12.6L]"/>
    <n v="105"/>
    <n v="11475"/>
    <n v="1204923"/>
    <n v="9525"/>
    <n v="1000125"/>
    <n v="204798"/>
    <n v="0.16996770748006304"/>
    <x v="25"/>
    <x v="2"/>
  </r>
  <r>
    <x v="0"/>
    <s v="헤모시스에이지액 10L [10L]"/>
    <n v="105"/>
    <n v="11023"/>
    <n v="1157386"/>
    <n v="9149"/>
    <n v="960645"/>
    <n v="196741"/>
    <n v="0.16998736808636011"/>
    <x v="25"/>
    <x v="2"/>
  </r>
  <r>
    <x v="0"/>
    <s v="헤모시스에이지엘액 5.5L [5.5L]"/>
    <n v="10"/>
    <n v="8439"/>
    <n v="84391"/>
    <n v="7005"/>
    <n v="70050"/>
    <n v="14341"/>
    <n v="0.16993518266165825"/>
    <x v="25"/>
    <x v="2"/>
  </r>
  <r>
    <x v="0"/>
    <s v="네스벨프리필드시린지주30μg/0.5mL [30μg/0.5mL]"/>
    <n v="10"/>
    <n v="17711"/>
    <n v="177109"/>
    <n v="13637"/>
    <n v="136370"/>
    <n v="40739"/>
    <n v="0.23002218972497163"/>
    <x v="25"/>
    <x v="2"/>
  </r>
  <r>
    <x v="0"/>
    <s v="네스벨프리필드시린지주60μg/0.5mL [60μg/0.5mL]"/>
    <n v="20"/>
    <n v="25740"/>
    <n v="514800"/>
    <n v="19820"/>
    <n v="396400"/>
    <n v="118400"/>
    <n v="0.22999222999222999"/>
    <x v="25"/>
    <x v="2"/>
  </r>
  <r>
    <x v="0"/>
    <s v="이노엔0.9％ 생리식염주사액 1000ml [1000ml]"/>
    <n v="250"/>
    <n v="1504"/>
    <n v="375909"/>
    <n v="1368"/>
    <n v="342000"/>
    <n v="33909"/>
    <n v="9.0205342250385068E-2"/>
    <x v="25"/>
    <x v="2"/>
  </r>
  <r>
    <x v="0"/>
    <s v="중외50％포도당주사액 [100ml]"/>
    <n v="60"/>
    <n v="1206"/>
    <n v="72382"/>
    <n v="1097"/>
    <n v="65820"/>
    <n v="6562"/>
    <n v="9.0657898372523554E-2"/>
    <x v="25"/>
    <x v="2"/>
  </r>
  <r>
    <x v="0"/>
    <s v="에포카인프리필드주10000IU/mL(1mL) [10000IU/mL(1mL)]"/>
    <n v="5"/>
    <n v="108115"/>
    <n v="540573"/>
    <n v="54060"/>
    <n v="270300"/>
    <n v="270273"/>
    <n v="0.49997502649965869"/>
    <x v="25"/>
    <x v="2"/>
  </r>
  <r>
    <x v="0"/>
    <s v="에포카인프리필드주10000IU/mL(0.8mL) [10000IU/mL(0.8mL)]"/>
    <n v="7"/>
    <n v="87065"/>
    <n v="609458"/>
    <n v="43530"/>
    <n v="304710"/>
    <n v="304748"/>
    <n v="0.50003117524095175"/>
    <x v="25"/>
    <x v="2"/>
  </r>
  <r>
    <x v="0"/>
    <s v="에포카인프리필드주10000IU/mL(0.6mL) [10000IU/mL(0.6mL)]"/>
    <n v="3"/>
    <n v="73658"/>
    <n v="220975"/>
    <n v="43530"/>
    <n v="130590"/>
    <n v="90385"/>
    <n v="0.40902817060753477"/>
    <x v="25"/>
    <x v="2"/>
  </r>
  <r>
    <x v="0"/>
    <s v="에포카인프리필드주10000IU/mL(0.4mL) [10000IU/mL(0.4mL)]"/>
    <n v="1"/>
    <n v="66660"/>
    <n v="66660"/>
    <n v="33330"/>
    <n v="33330"/>
    <n v="33330"/>
    <n v="0.5"/>
    <x v="25"/>
    <x v="2"/>
  </r>
  <r>
    <x v="0"/>
    <s v="에포카인프리필드주2000IU/0.5mL(6SYR)"/>
    <n v="1"/>
    <n v="43544"/>
    <n v="43544"/>
    <n v="21774"/>
    <n v="21774"/>
    <n v="21770"/>
    <n v="0.49995406944699616"/>
    <x v="25"/>
    <x v="2"/>
  </r>
  <r>
    <x v="1"/>
    <m/>
    <n v="577"/>
    <n v="456140"/>
    <n v="5068110"/>
    <m/>
    <n v="3732114"/>
    <n v="1335996"/>
    <n v="0.26360832736463891"/>
    <x v="25"/>
    <x v="2"/>
  </r>
  <r>
    <x v="2"/>
    <s v="헤모시스비액 12.6L [12.6L]"/>
    <n v="140"/>
    <n v="11475"/>
    <n v="1606564"/>
    <n v="9525"/>
    <n v="1333500"/>
    <n v="273064"/>
    <n v="0.16996770748006304"/>
    <x v="25"/>
    <x v="2"/>
  </r>
  <r>
    <x v="2"/>
    <s v="헤모시스에이지액 10L [10L]"/>
    <n v="140"/>
    <n v="11023"/>
    <n v="1543182"/>
    <n v="9149"/>
    <n v="1280860"/>
    <n v="262322"/>
    <n v="0.16998772665829437"/>
    <x v="25"/>
    <x v="2"/>
  </r>
  <r>
    <x v="2"/>
    <s v="헤모시스에이지엘액 5.5L [5.5L]"/>
    <n v="15"/>
    <n v="8439"/>
    <n v="126586"/>
    <n v="7005"/>
    <n v="105075"/>
    <n v="21511"/>
    <n v="0.16993190400202235"/>
    <x v="25"/>
    <x v="2"/>
  </r>
  <r>
    <x v="2"/>
    <s v="이노엔0.9％ 생리식염주사액 1000ml [1000ml]"/>
    <n v="350"/>
    <n v="1504"/>
    <n v="526273"/>
    <n v="1368"/>
    <n v="478800"/>
    <n v="47473"/>
    <n v="9.0206033750543924E-2"/>
    <x v="25"/>
    <x v="2"/>
  </r>
  <r>
    <x v="2"/>
    <s v="에포카인프리필드주10000IU/mL(1mL) [10000IU/mL(1mL)]"/>
    <n v="15"/>
    <n v="108115"/>
    <n v="1621718"/>
    <n v="54060"/>
    <n v="810900"/>
    <n v="810818"/>
    <n v="0.49997471816925015"/>
    <x v="25"/>
    <x v="2"/>
  </r>
  <r>
    <x v="2"/>
    <s v="에포카인프리필드주10000IU/mL(0.8mL) [10000IU/mL(0.8mL)]"/>
    <n v="9"/>
    <n v="87065"/>
    <n v="783589"/>
    <n v="43530"/>
    <n v="391770"/>
    <n v="391819"/>
    <n v="0.50003126639092688"/>
    <x v="25"/>
    <x v="2"/>
  </r>
  <r>
    <x v="2"/>
    <s v="에포카인프리필드주10000IU/mL(0.6mL) [10000IU/mL(0.6mL)]"/>
    <n v="3"/>
    <n v="73658"/>
    <n v="220975"/>
    <n v="43530"/>
    <n v="130590"/>
    <n v="90385"/>
    <n v="0.40902817060753477"/>
    <x v="25"/>
    <x v="2"/>
  </r>
  <r>
    <x v="3"/>
    <m/>
    <n v="672"/>
    <n v="301279"/>
    <n v="6428887"/>
    <m/>
    <n v="4531495"/>
    <n v="1897392"/>
    <n v="0.29513537879884966"/>
    <x v="25"/>
    <x v="2"/>
  </r>
  <r>
    <x v="0"/>
    <s v="세머원정 180T"/>
    <n v="20"/>
    <n v="61056"/>
    <n v="1221127"/>
    <n v="41629.109090909085"/>
    <n v="832582.18181818165"/>
    <n v="388544.81818181835"/>
    <n v="0.31818542885532658"/>
    <x v="26"/>
    <x v="1"/>
  </r>
  <r>
    <x v="1"/>
    <m/>
    <n v="20"/>
    <n v="61056"/>
    <n v="1221127"/>
    <m/>
    <n v="832581.81818181812"/>
    <n v="388545.18181818188"/>
    <n v="0.31818572664283229"/>
    <x v="26"/>
    <x v="1"/>
  </r>
  <r>
    <x v="2"/>
    <s v="세머원정 180T"/>
    <n v="20"/>
    <n v="61056"/>
    <n v="1221127"/>
    <n v="41629.109090909085"/>
    <n v="832582.18181818165"/>
    <n v="388544.81818181835"/>
    <n v="0.31818542885532658"/>
    <x v="26"/>
    <x v="1"/>
  </r>
  <r>
    <x v="3"/>
    <m/>
    <n v="20"/>
    <n v="463153"/>
    <n v="1221127"/>
    <m/>
    <n v="832582.18181818165"/>
    <n v="388544.81818181835"/>
    <n v="0.31818542885532658"/>
    <x v="26"/>
    <x v="1"/>
  </r>
  <r>
    <x v="0"/>
    <s v="주사용후탄10mg 10V"/>
    <n v="100"/>
    <n v="83735"/>
    <n v="2093364"/>
    <n v="17960"/>
    <n v="1796000"/>
    <n v="297364"/>
    <n v="0.1420507852432735"/>
    <x v="27"/>
    <x v="1"/>
  </r>
  <r>
    <x v="0"/>
    <s v="주사용후탄50mg 10V"/>
    <n v="1344"/>
    <n v="59159.090909090904"/>
    <n v="79509818"/>
    <n v="50759.999999999993"/>
    <n v="68221439.999999985"/>
    <n v="11288378.000000015"/>
    <n v="0.14197464267871943"/>
    <x v="27"/>
    <x v="1"/>
  </r>
  <r>
    <x v="1"/>
    <m/>
    <n v="1444"/>
    <n v="320371"/>
    <n v="81603182"/>
    <m/>
    <n v="70017439.999999985"/>
    <n v="11585742.000000015"/>
    <n v="0.14197659596166257"/>
    <x v="27"/>
    <x v="1"/>
  </r>
  <r>
    <x v="2"/>
    <s v="주사용후탄10mg 10V"/>
    <n v="65"/>
    <n v="62801"/>
    <n v="1360687"/>
    <n v="17960"/>
    <n v="1167400"/>
    <n v="193287"/>
    <n v="0.1420510374538744"/>
    <x v="27"/>
    <x v="1"/>
  </r>
  <r>
    <x v="2"/>
    <s v="주사용후탄50mg 10V"/>
    <n v="896"/>
    <n v="177477"/>
    <n v="53006545"/>
    <n v="50759.999999999993"/>
    <n v="45480959.999999993"/>
    <n v="7525585.0000000075"/>
    <n v="0.1419746372829998"/>
    <x v="27"/>
    <x v="1"/>
  </r>
  <r>
    <x v="3"/>
    <m/>
    <n v="961"/>
    <n v="240278"/>
    <n v="54367232"/>
    <m/>
    <n v="46648359.999999993"/>
    <n v="7718872.0000000075"/>
    <n v="0.14197654940387636"/>
    <x v="27"/>
    <x v="1"/>
  </r>
  <r>
    <x v="2"/>
    <s v="파리칼주1mg *10A"/>
    <n v="10"/>
    <n v="69425"/>
    <n v="694255"/>
    <n v="50154"/>
    <n v="501540"/>
    <n v="192715"/>
    <n v="0.27758532527673552"/>
    <x v="28"/>
    <x v="1"/>
  </r>
  <r>
    <x v="3"/>
    <m/>
    <n v="10"/>
    <n v="69425"/>
    <n v="694255"/>
    <m/>
    <n v="501540"/>
    <n v="192715"/>
    <n v="0.27758532527673552"/>
    <x v="28"/>
    <x v="1"/>
  </r>
  <r>
    <x v="0"/>
    <s v="파시톨주 1ml * 10V [10VIAL]"/>
    <n v="10"/>
    <n v="89697"/>
    <n v="896973"/>
    <m/>
    <n v="690363.63636363635"/>
    <n v="206609.36363636365"/>
    <n v="0.23034067205630898"/>
    <x v="29"/>
    <x v="1"/>
  </r>
  <r>
    <x v="1"/>
    <m/>
    <n v="10"/>
    <n v="89697"/>
    <n v="896973"/>
    <m/>
    <n v="690363.63636363635"/>
    <n v="206609.36363636365"/>
    <n v="0.23034067205630898"/>
    <x v="29"/>
    <x v="1"/>
  </r>
  <r>
    <x v="2"/>
    <s v="파시톨주 1ml * 10V [10VIAL]"/>
    <n v="20"/>
    <n v="89697"/>
    <n v="1793945"/>
    <m/>
    <n v="1380727.2727272727"/>
    <n v="413217.72727272729"/>
    <n v="0.23034024302457839"/>
    <x v="29"/>
    <x v="1"/>
  </r>
  <r>
    <x v="3"/>
    <m/>
    <n v="20"/>
    <n v="271795"/>
    <n v="1793945"/>
    <m/>
    <n v="1380727.2727272727"/>
    <n v="413217.72727272729"/>
    <n v="0.23034024302457839"/>
    <x v="29"/>
    <x v="1"/>
  </r>
  <r>
    <x v="2"/>
    <s v="파시톨주 1ml * 10V [10VIAL]"/>
    <n v="10"/>
    <n v="87635"/>
    <n v="876355"/>
    <m/>
    <n v="690363.63636363635"/>
    <n v="185991.36363636365"/>
    <n v="0.2122329006354316"/>
    <x v="30"/>
    <x v="1"/>
  </r>
  <r>
    <x v="3"/>
    <m/>
    <n v="10"/>
    <n v="265549"/>
    <n v="836714"/>
    <m/>
    <n v="690363.63636363635"/>
    <n v="146350.36363636365"/>
    <n v="0.17491085799492256"/>
    <x v="30"/>
    <x v="1"/>
  </r>
  <r>
    <x v="0"/>
    <s v="Elisio-21H [2.1]"/>
    <n v="48"/>
    <n v="14200"/>
    <n v="681600"/>
    <n v="10000"/>
    <n v="480000"/>
    <n v="201600"/>
    <n v="0.29577464788732394"/>
    <x v="31"/>
    <x v="2"/>
  </r>
  <r>
    <x v="1"/>
    <m/>
    <n v="48"/>
    <n v="14200"/>
    <n v="681600"/>
    <m/>
    <n v="480000"/>
    <n v="201600"/>
    <n v="0.29577464788732394"/>
    <x v="31"/>
    <x v="2"/>
  </r>
  <r>
    <x v="0"/>
    <s v="에취디졸비씨지에이액_(5.5L)"/>
    <n v="100"/>
    <n v="8194"/>
    <n v="819364"/>
    <n v="6555"/>
    <n v="655500"/>
    <n v="163864"/>
    <n v="0.19998925996260514"/>
    <x v="32"/>
    <x v="2"/>
  </r>
  <r>
    <x v="0"/>
    <s v="SOL-CART B -KR- SOD.BIC.-CARTR. 650GR [650G]"/>
    <n v="220"/>
    <n v="4964"/>
    <n v="1092000"/>
    <n v="3600"/>
    <n v="792000"/>
    <n v="300000"/>
    <n v="0.27472527472527475"/>
    <x v="32"/>
    <x v="2"/>
  </r>
  <r>
    <x v="0"/>
    <s v="Elisio-15H [1.5]"/>
    <n v="48"/>
    <n v="12500"/>
    <n v="600000"/>
    <n v="9000"/>
    <n v="432000"/>
    <n v="168000"/>
    <n v="0.28000000000000003"/>
    <x v="32"/>
    <x v="2"/>
  </r>
  <r>
    <x v="0"/>
    <s v="Elisio-17H [1.7]"/>
    <n v="48"/>
    <n v="12500"/>
    <n v="600000"/>
    <n v="9000"/>
    <n v="432000"/>
    <n v="168000"/>
    <n v="0.28000000000000003"/>
    <x v="32"/>
    <x v="2"/>
  </r>
  <r>
    <x v="0"/>
    <s v="Elisio-21H [2.1]"/>
    <n v="48"/>
    <n v="14000"/>
    <n v="672000"/>
    <n v="10000"/>
    <n v="480000"/>
    <n v="192000"/>
    <n v="0.2857142857142857"/>
    <x v="32"/>
    <x v="2"/>
  </r>
  <r>
    <x v="0"/>
    <s v="혈액회로 (A004DR/V600DR) HD [24EA/BOX]"/>
    <n v="192"/>
    <n v="7000"/>
    <n v="1344000"/>
    <n v="9400"/>
    <n v="1804800"/>
    <n v="-460800"/>
    <n v="-0.34285714285714286"/>
    <x v="32"/>
    <x v="2"/>
  </r>
  <r>
    <x v="0"/>
    <s v="혈액회로 A008DR(K) HDF [HDF 보액라인]"/>
    <n v="100"/>
    <n v="2500"/>
    <n v="250000"/>
    <n v="2500"/>
    <n v="250000"/>
    <n v="0"/>
    <n v="0"/>
    <x v="32"/>
    <x v="2"/>
  </r>
  <r>
    <x v="0"/>
    <s v="혈액회로 (A006DR/V601DR) HDF [24EA/BOX]"/>
    <n v="24"/>
    <n v="8000"/>
    <n v="192000"/>
    <n v="9600"/>
    <n v="230400"/>
    <n v="-38400"/>
    <n v="-0.2"/>
    <x v="32"/>
    <x v="2"/>
  </r>
  <r>
    <x v="0"/>
    <s v="A.V FISTULA NEEDLE 16G"/>
    <n v="1000"/>
    <n v="500"/>
    <n v="500000"/>
    <n v="330"/>
    <n v="330000"/>
    <n v="170000"/>
    <n v="0.34"/>
    <x v="32"/>
    <x v="2"/>
  </r>
  <r>
    <x v="0"/>
    <s v="크린세이프피에이액(과아세트산액) [5L/1통]"/>
    <n v="20"/>
    <n v="34000"/>
    <n v="680000"/>
    <n v="17000"/>
    <n v="340000"/>
    <n v="340000"/>
    <n v="0.5"/>
    <x v="32"/>
    <x v="2"/>
  </r>
  <r>
    <x v="1"/>
    <m/>
    <n v="1800"/>
    <n v="104158"/>
    <n v="6749364"/>
    <m/>
    <n v="5746700"/>
    <n v="1002664"/>
    <n v="0.14855681216778352"/>
    <x v="32"/>
    <x v="2"/>
  </r>
  <r>
    <x v="2"/>
    <s v="에취디졸비씨지에이액_(5.5L)"/>
    <n v="380"/>
    <n v="8194"/>
    <n v="3113582"/>
    <n v="6555"/>
    <n v="2490900"/>
    <n v="622682"/>
    <n v="0.19998895163191463"/>
    <x v="32"/>
    <x v="2"/>
  </r>
  <r>
    <x v="2"/>
    <s v="SOL-CART B -KR- SOD.BIC.-CARTR. 650GR [650G]"/>
    <n v="340"/>
    <n v="4964"/>
    <n v="1687636"/>
    <n v="3600"/>
    <n v="1224000"/>
    <n v="463636"/>
    <n v="0.27472511844971309"/>
    <x v="32"/>
    <x v="2"/>
  </r>
  <r>
    <x v="2"/>
    <s v="Elisio-15H [1.5]"/>
    <n v="120"/>
    <n v="12500"/>
    <n v="1500000"/>
    <n v="9000"/>
    <n v="1080000"/>
    <n v="420000"/>
    <n v="0.28000000000000003"/>
    <x v="32"/>
    <x v="2"/>
  </r>
  <r>
    <x v="2"/>
    <s v="Elisio-17H [1.7]"/>
    <n v="120"/>
    <n v="12500"/>
    <n v="1500000"/>
    <n v="9000"/>
    <n v="1080000"/>
    <n v="420000"/>
    <n v="0.28000000000000003"/>
    <x v="32"/>
    <x v="2"/>
  </r>
  <r>
    <x v="2"/>
    <s v="Elisio-21H [2.1]"/>
    <n v="48"/>
    <n v="14000"/>
    <n v="672000"/>
    <n v="10000"/>
    <n v="480000"/>
    <n v="192000"/>
    <n v="0.2857142857142857"/>
    <x v="32"/>
    <x v="2"/>
  </r>
  <r>
    <x v="2"/>
    <s v="혈액회로 (A004DR/V600DR) HD [24EA/BOX]"/>
    <n v="360"/>
    <n v="7000"/>
    <n v="2520000"/>
    <n v="9400"/>
    <n v="3384000"/>
    <n v="-864000"/>
    <n v="-0.34285714285714286"/>
    <x v="32"/>
    <x v="2"/>
  </r>
  <r>
    <x v="2"/>
    <s v="A.V FISTULA NEEDLE 15G [500EA/BOX]"/>
    <n v="50"/>
    <n v="500"/>
    <n v="25000"/>
    <n v="330"/>
    <n v="16500"/>
    <n v="8500"/>
    <n v="0.34"/>
    <x v="32"/>
    <x v="2"/>
  </r>
  <r>
    <x v="3"/>
    <m/>
    <n v="1418"/>
    <n v="59658"/>
    <n v="11018218"/>
    <m/>
    <n v="9755400"/>
    <n v="1262818"/>
    <n v="0.11461181835392983"/>
    <x v="32"/>
    <x v="2"/>
  </r>
  <r>
    <x v="0"/>
    <s v="메나탄주 50mg 10V"/>
    <n v="50"/>
    <n v="91985"/>
    <n v="4599273"/>
    <n v="70341"/>
    <n v="3517050"/>
    <n v="1082223"/>
    <n v="0.23530305767889839"/>
    <x v="33"/>
    <x v="1"/>
  </r>
  <r>
    <x v="0"/>
    <s v="메나탄주 50mg 10V"/>
    <n v="30"/>
    <n v="91985"/>
    <n v="2759564"/>
    <n v="70341"/>
    <n v="2110230"/>
    <n v="649334"/>
    <n v="0.2353031131004753"/>
    <x v="33"/>
    <x v="1"/>
  </r>
  <r>
    <x v="1"/>
    <m/>
    <n v="80"/>
    <n v="402125"/>
    <n v="7358837"/>
    <m/>
    <n v="5627280"/>
    <n v="1731557"/>
    <n v="0.23530307846199067"/>
    <x v="33"/>
    <x v="1"/>
  </r>
  <r>
    <x v="2"/>
    <s v="메나탄주 50mg 10V"/>
    <n v="18"/>
    <n v="91985"/>
    <n v="1655738"/>
    <n v="70341"/>
    <n v="1266138"/>
    <n v="389600"/>
    <n v="0.23530292836185435"/>
    <x v="33"/>
    <x v="1"/>
  </r>
  <r>
    <x v="2"/>
    <s v="메나탄주 50mg 10V"/>
    <n v="30"/>
    <n v="91985"/>
    <n v="2759564"/>
    <n v="70341"/>
    <n v="2110230"/>
    <n v="649334"/>
    <n v="0.2353031131004753"/>
    <x v="33"/>
    <x v="1"/>
  </r>
  <r>
    <x v="2"/>
    <s v="메나탄주 50mg 10V"/>
    <n v="20"/>
    <n v="91985"/>
    <n v="1839709"/>
    <n v="70341"/>
    <n v="1406820"/>
    <n v="432889"/>
    <n v="0.23530297454651797"/>
    <x v="33"/>
    <x v="1"/>
  </r>
  <r>
    <x v="3"/>
    <m/>
    <n v="68"/>
    <n v="275956"/>
    <n v="6255011"/>
    <m/>
    <n v="4783188"/>
    <n v="1471823"/>
    <n v="0.2353030234479204"/>
    <x v="33"/>
    <x v="1"/>
  </r>
  <r>
    <x v="1"/>
    <m/>
    <m/>
    <m/>
    <n v="23121865"/>
    <m/>
    <n v="16640472.727272727"/>
    <n v="6481392.2727272734"/>
    <n v="0.28031442414905861"/>
    <x v="34"/>
    <x v="0"/>
  </r>
  <r>
    <x v="3"/>
    <m/>
    <m/>
    <m/>
    <n v="23926742"/>
    <m/>
    <n v="16166423"/>
    <n v="7760319"/>
    <n v="0.3243366355519694"/>
    <x v="34"/>
    <x v="0"/>
  </r>
  <r>
    <x v="1"/>
    <m/>
    <m/>
    <m/>
    <n v="50598648"/>
    <m/>
    <n v="43246029"/>
    <n v="7352619"/>
    <n v="0.14531255854899522"/>
    <x v="35"/>
    <x v="0"/>
  </r>
  <r>
    <x v="3"/>
    <m/>
    <m/>
    <m/>
    <n v="46737474"/>
    <m/>
    <n v="35980505"/>
    <n v="10756969"/>
    <n v="0.23015726095937492"/>
    <x v="35"/>
    <x v="0"/>
  </r>
  <r>
    <x v="0"/>
    <s v="헤모시스에이지엘액 5.5L [5.5L]"/>
    <n v="115"/>
    <n v="8100"/>
    <n v="931500"/>
    <n v="6414"/>
    <n v="737610"/>
    <n v="193890"/>
    <n v="0.20814814814814814"/>
    <x v="36"/>
    <x v="0"/>
  </r>
  <r>
    <x v="0"/>
    <s v="헤모시스에이지액 5.5L [5.5L]"/>
    <n v="1910"/>
    <n v="7860"/>
    <n v="15012600"/>
    <n v="6227"/>
    <n v="11893570"/>
    <n v="3119030"/>
    <n v="0.20776081424936388"/>
    <x v="36"/>
    <x v="0"/>
  </r>
  <r>
    <x v="1"/>
    <m/>
    <n v="2025"/>
    <n v="15960"/>
    <n v="15944100"/>
    <m/>
    <n v="12631180"/>
    <n v="3312920"/>
    <n v="0.20778344340539762"/>
    <x v="36"/>
    <x v="0"/>
  </r>
  <r>
    <x v="2"/>
    <s v="헤모시스에이지엘액 5.5L [5.5L]"/>
    <n v="115"/>
    <n v="8100"/>
    <n v="931500"/>
    <n v="6414"/>
    <n v="737610"/>
    <n v="193890"/>
    <n v="0.20814814814814814"/>
    <x v="36"/>
    <x v="0"/>
  </r>
  <r>
    <x v="2"/>
    <s v="헤모시스에이지액 5.5L [5.5L]"/>
    <n v="1820"/>
    <n v="7860"/>
    <n v="14305200"/>
    <n v="6227"/>
    <n v="11333140"/>
    <n v="2972060"/>
    <n v="0.20776081424936388"/>
    <x v="36"/>
    <x v="0"/>
  </r>
  <r>
    <x v="3"/>
    <m/>
    <n v="1935"/>
    <n v="15960"/>
    <n v="15236700"/>
    <m/>
    <n v="12070750"/>
    <n v="3165950"/>
    <n v="0.2077844940177335"/>
    <x v="36"/>
    <x v="0"/>
  </r>
  <r>
    <x v="1"/>
    <m/>
    <m/>
    <m/>
    <n v="347227"/>
    <m/>
    <n v="193727.27272727271"/>
    <n v="153499.72727272729"/>
    <n v="0.44207313161916351"/>
    <x v="37"/>
    <x v="1"/>
  </r>
  <r>
    <x v="0"/>
    <s v="Elisio-21H [2.1]"/>
    <n v="120"/>
    <n v="17100"/>
    <n v="2052000"/>
    <n v="10000"/>
    <n v="1200000"/>
    <n v="852000"/>
    <n v="0.41520467836257308"/>
    <x v="38"/>
    <x v="2"/>
  </r>
  <r>
    <x v="1"/>
    <m/>
    <m/>
    <m/>
    <n v="2052000"/>
    <m/>
    <n v="1200000"/>
    <n v="852000"/>
    <n v="0.41520467836257308"/>
    <x v="38"/>
    <x v="2"/>
  </r>
  <r>
    <x v="2"/>
    <s v="Elisio-21H [2.1]"/>
    <n v="120"/>
    <n v="17100"/>
    <n v="2052000"/>
    <n v="10000"/>
    <n v="1200000"/>
    <n v="852000"/>
    <n v="0.41520467836257308"/>
    <x v="38"/>
    <x v="2"/>
  </r>
  <r>
    <x v="3"/>
    <m/>
    <m/>
    <m/>
    <n v="2052000"/>
    <m/>
    <n v="1200000"/>
    <n v="852000"/>
    <n v="0.41520467836257308"/>
    <x v="38"/>
    <x v="2"/>
  </r>
  <r>
    <x v="0"/>
    <s v="Elisio-15H [24EA/BOX] [1.5]"/>
    <n v="48"/>
    <n v="14700"/>
    <n v="705600"/>
    <n v="9000"/>
    <n v="432000"/>
    <n v="273600"/>
    <n v="0.38775510204081631"/>
    <x v="39"/>
    <x v="2"/>
  </r>
  <r>
    <x v="0"/>
    <s v="Elisio-17H [24EA/BOX] [1.7]"/>
    <n v="24"/>
    <n v="14700"/>
    <n v="352800"/>
    <n v="9000"/>
    <n v="216000"/>
    <n v="136800"/>
    <n v="0.38775510204081631"/>
    <x v="39"/>
    <x v="2"/>
  </r>
  <r>
    <x v="0"/>
    <s v="혈액회로 (A004DR/V600DR) HD [24EA/BOX]"/>
    <n v="72"/>
    <n v="6200"/>
    <n v="446400"/>
    <n v="9400"/>
    <n v="676800"/>
    <n v="-230400"/>
    <n v="-0.5161290322580645"/>
    <x v="39"/>
    <x v="2"/>
  </r>
  <r>
    <x v="0"/>
    <s v="SOL-CART B -KR- SOD.BIC.-CARTR. 650GR [650G]"/>
    <n v="70"/>
    <n v="4964"/>
    <n v="347455"/>
    <n v="3600"/>
    <n v="252000"/>
    <n v="95455"/>
    <n v="0.27472622353973897"/>
    <x v="39"/>
    <x v="2"/>
  </r>
  <r>
    <x v="1"/>
    <m/>
    <n v="214"/>
    <n v="40564"/>
    <n v="1852255"/>
    <m/>
    <n v="1576800"/>
    <n v="275455"/>
    <n v="0.14871332510912375"/>
    <x v="39"/>
    <x v="2"/>
  </r>
  <r>
    <x v="0"/>
    <s v="파시톨주 1ml * 10V [10VIAL]"/>
    <n v="12"/>
    <n v="92790"/>
    <n v="1113480"/>
    <n v="67015.454500000007"/>
    <n v="804185.45400000014"/>
    <n v="309294.54599999986"/>
    <n v="0.27777287962064867"/>
    <x v="40"/>
    <x v="1"/>
  </r>
  <r>
    <x v="1"/>
    <m/>
    <n v="12"/>
    <m/>
    <n v="1113480"/>
    <m/>
    <n v="804185.45400000014"/>
    <n v="309294.54599999986"/>
    <n v="0.27777287962064867"/>
    <x v="40"/>
    <x v="1"/>
  </r>
  <r>
    <x v="0"/>
    <s v="생물]마운자로프리필드펜주5mg/4PEN"/>
    <n v="1"/>
    <n v="367364"/>
    <n v="367364"/>
    <n v="320626.36363636359"/>
    <n v="320626.36363636359"/>
    <n v="46737.636363636411"/>
    <n v="0.12722432346020951"/>
    <x v="41"/>
    <x v="0"/>
  </r>
  <r>
    <x v="0"/>
    <s v="생물]마운자로프리필드펜주2.5mg/4PEN"/>
    <n v="1"/>
    <n v="309091"/>
    <n v="309091"/>
    <n v="240181.81818181818"/>
    <n v="240181.81818181818"/>
    <n v="68909.181818181823"/>
    <n v="0.22294140501723383"/>
    <x v="41"/>
    <x v="0"/>
  </r>
  <r>
    <x v="1"/>
    <m/>
    <n v="2"/>
    <n v="676455"/>
    <n v="676455"/>
    <m/>
    <n v="560808.18181818177"/>
    <n v="115646.81818181823"/>
    <n v="0.17096010552338031"/>
    <x v="41"/>
    <x v="0"/>
  </r>
  <r>
    <x v="1"/>
    <m/>
    <m/>
    <m/>
    <n v="16108393"/>
    <m/>
    <n v="14502222.727272727"/>
    <n v="1606170.2727272734"/>
    <n v="9.9710149406416482E-2"/>
    <x v="42"/>
    <x v="0"/>
  </r>
  <r>
    <x v="3"/>
    <m/>
    <m/>
    <m/>
    <n v="6206464"/>
    <m/>
    <n v="3427994.5454545449"/>
    <n v="2778469.4545454551"/>
    <n v="0.44767349887882296"/>
    <x v="42"/>
    <x v="0"/>
  </r>
  <r>
    <x v="2"/>
    <s v="에취디졸비씨지에이액_(5.5L)"/>
    <n v="685"/>
    <n v="8194"/>
    <n v="5612641"/>
    <n v="6555"/>
    <n v="4490175"/>
    <n v="1122466"/>
    <n v="0.19998891787306547"/>
    <x v="39"/>
    <x v="1"/>
  </r>
  <r>
    <x v="2"/>
    <s v="케이바이카트761 5.5L"/>
    <n v="35"/>
    <n v="8439"/>
    <n v="295368"/>
    <n v="6750"/>
    <n v="236250"/>
    <n v="59118"/>
    <n v="0.20015032095555374"/>
    <x v="39"/>
    <x v="1"/>
  </r>
  <r>
    <x v="3"/>
    <m/>
    <n v="720"/>
    <n v="16633"/>
    <n v="5908009"/>
    <m/>
    <n v="4726425"/>
    <n v="1181584"/>
    <n v="0.19999698714067632"/>
    <x v="39"/>
    <x v="1"/>
  </r>
  <r>
    <x v="2"/>
    <s v="파시톨주 1ml * 10V [10VIAL]"/>
    <n v="16"/>
    <n v="92790"/>
    <n v="1484640"/>
    <n v="67015.454500000007"/>
    <n v="1072247.2720000001"/>
    <n v="412392.72799999989"/>
    <n v="0.27777287962064873"/>
    <x v="40"/>
    <x v="1"/>
  </r>
  <r>
    <x v="3"/>
    <m/>
    <n v="16"/>
    <n v="185580"/>
    <n v="1484640"/>
    <m/>
    <n v="1072247.2720000001"/>
    <n v="412392.72799999989"/>
    <n v="0.27777287962064873"/>
    <x v="4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C6C182-E37C-48F0-A969-5D44EB469BDC}" name="피벗 테이블1" cacheId="0" applyNumberFormats="0" applyBorderFormats="0" applyFontFormats="0" applyPatternFormats="0" applyAlignmentFormats="0" applyWidthHeightFormats="1" dataCaption="값" updatedVersion="8" minRefreshableVersion="3" useAutoFormatting="1" rowGrandTotals="0" colGrandTotals="0" itemPrintTitles="1" createdVersion="8" indent="0" outline="1" outlineData="1" multipleFieldFilters="0" chartFormat="1">
  <location ref="A3:E52" firstHeaderRow="1" firstDataRow="3" firstDataCol="1"/>
  <pivotFields count="11">
    <pivotField axis="axisCol" showAll="0">
      <items count="5">
        <item h="1" x="0"/>
        <item h="1" x="2"/>
        <item x="1"/>
        <item x="3"/>
        <item t="default"/>
      </items>
      <extLst>
        <ext xmlns:x14="http://schemas.microsoft.com/office/spreadsheetml/2009/9/main" uri="{2946ED86-A175-432a-8AC1-64E0C546D7DE}">
          <x14:pivotField fillDownLabels="1"/>
        </ext>
      </extLst>
    </pivotField>
    <pivotField showAll="0"/>
    <pivotField showAll="0"/>
    <pivotField showAll="0"/>
    <pivotField numFmtId="3" showAll="0"/>
    <pivotField showAll="0"/>
    <pivotField showAll="0"/>
    <pivotField dataField="1" showAll="0"/>
    <pivotField dataField="1" showAll="0"/>
    <pivotField axis="axisRow" showAll="0">
      <items count="44">
        <item x="4"/>
        <item x="33"/>
        <item x="26"/>
        <item x="36"/>
        <item x="34"/>
        <item x="32"/>
        <item x="10"/>
        <item x="27"/>
        <item x="13"/>
        <item x="5"/>
        <item x="38"/>
        <item x="12"/>
        <item x="15"/>
        <item x="37"/>
        <item x="3"/>
        <item x="9"/>
        <item x="35"/>
        <item x="8"/>
        <item x="17"/>
        <item x="16"/>
        <item x="11"/>
        <item x="14"/>
        <item x="28"/>
        <item x="0"/>
        <item x="6"/>
        <item x="19"/>
        <item x="39"/>
        <item x="20"/>
        <item x="21"/>
        <item x="23"/>
        <item x="22"/>
        <item x="7"/>
        <item x="42"/>
        <item x="24"/>
        <item x="31"/>
        <item x="18"/>
        <item x="29"/>
        <item x="30"/>
        <item x="2"/>
        <item x="25"/>
        <item x="1"/>
        <item x="40"/>
        <item x="41"/>
        <item t="default"/>
      </items>
    </pivotField>
    <pivotField axis="axisRow" showAll="0">
      <items count="4">
        <item x="1"/>
        <item x="2"/>
        <item x="0"/>
        <item t="default"/>
      </items>
    </pivotField>
  </pivotFields>
  <rowFields count="2">
    <field x="10"/>
    <field x="9"/>
  </rowFields>
  <rowItems count="47">
    <i>
      <x/>
    </i>
    <i r="1">
      <x v="1"/>
    </i>
    <i r="1">
      <x v="2"/>
    </i>
    <i r="1">
      <x v="7"/>
    </i>
    <i r="1">
      <x v="13"/>
    </i>
    <i r="1">
      <x v="22"/>
    </i>
    <i r="1">
      <x v="26"/>
    </i>
    <i r="1">
      <x v="29"/>
    </i>
    <i r="1">
      <x v="31"/>
    </i>
    <i r="1">
      <x v="36"/>
    </i>
    <i r="1">
      <x v="37"/>
    </i>
    <i r="1">
      <x v="41"/>
    </i>
    <i>
      <x v="1"/>
    </i>
    <i r="1">
      <x v="5"/>
    </i>
    <i r="1">
      <x v="10"/>
    </i>
    <i r="1">
      <x v="25"/>
    </i>
    <i r="1">
      <x v="26"/>
    </i>
    <i r="1">
      <x v="33"/>
    </i>
    <i r="1">
      <x v="34"/>
    </i>
    <i r="1">
      <x v="39"/>
    </i>
    <i>
      <x v="2"/>
    </i>
    <i r="1">
      <x/>
    </i>
    <i r="1">
      <x v="3"/>
    </i>
    <i r="1">
      <x v="4"/>
    </i>
    <i r="1">
      <x v="6"/>
    </i>
    <i r="1">
      <x v="8"/>
    </i>
    <i r="1">
      <x v="9"/>
    </i>
    <i r="1">
      <x v="11"/>
    </i>
    <i r="1">
      <x v="12"/>
    </i>
    <i r="1">
      <x v="14"/>
    </i>
    <i r="1">
      <x v="15"/>
    </i>
    <i r="1">
      <x v="16"/>
    </i>
    <i r="1">
      <x v="17"/>
    </i>
    <i r="1">
      <x v="18"/>
    </i>
    <i r="1">
      <x v="19"/>
    </i>
    <i r="1">
      <x v="20"/>
    </i>
    <i r="1">
      <x v="21"/>
    </i>
    <i r="1">
      <x v="23"/>
    </i>
    <i r="1">
      <x v="24"/>
    </i>
    <i r="1">
      <x v="27"/>
    </i>
    <i r="1">
      <x v="28"/>
    </i>
    <i r="1">
      <x v="30"/>
    </i>
    <i r="1">
      <x v="32"/>
    </i>
    <i r="1">
      <x v="35"/>
    </i>
    <i r="1">
      <x v="38"/>
    </i>
    <i r="1">
      <x v="40"/>
    </i>
    <i r="1">
      <x v="42"/>
    </i>
  </rowItems>
  <colFields count="2">
    <field x="0"/>
    <field x="-2"/>
  </colFields>
  <colItems count="4">
    <i>
      <x v="2"/>
      <x/>
    </i>
    <i r="1" i="1">
      <x v="1"/>
    </i>
    <i>
      <x v="3"/>
      <x/>
    </i>
    <i r="1" i="1">
      <x v="1"/>
    </i>
  </colItems>
  <dataFields count="2">
    <dataField name="합계 : 매출 이익" fld="7" baseField="9" baseItem="0" numFmtId="176"/>
    <dataField name="평균 : 매출 이익률" fld="8" subtotal="average" baseField="10" baseItem="0" numFmtId="9"/>
  </dataFields>
  <formats count="6">
    <format dxfId="5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0" count="1">
            <x v="0"/>
          </reference>
        </references>
      </pivotArea>
    </format>
    <format dxfId="4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0" count="1">
            <x v="1"/>
          </reference>
        </references>
      </pivotArea>
    </format>
    <format dxfId="3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3"/>
          </reference>
          <reference field="10" count="1">
            <x v="2"/>
          </reference>
        </references>
      </pivotArea>
    </format>
    <format dxfId="2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0" count="1">
            <x v="0"/>
          </reference>
        </references>
      </pivotArea>
    </format>
    <format dxfId="1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0" count="1">
            <x v="1"/>
          </reference>
        </references>
      </pivotArea>
    </format>
    <format dxfId="0">
      <pivotArea collapsedLevelsAreSubtotals="1" fieldPosition="0">
        <references count="3">
          <reference field="4294967294" count="1" selected="0">
            <x v="1"/>
          </reference>
          <reference field="0" count="1" selected="0">
            <x v="2"/>
          </reference>
          <reference field="10" count="1">
            <x v="2"/>
          </reference>
        </references>
      </pivotArea>
    </format>
  </formats>
  <pivotTableStyleInfo name="PivotStyleMedium4"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5C70C0F-6718-4EFB-9DB2-4659FBBE689D}">
  <we:reference id="29673e3c-d826-4f00-92ee-162334a52b1a" version="1.0.0.8" store="EXCatalog" storeType="EXCatalog"/>
  <we:alternateReferences>
    <we:reference id="WA200009404" version="1.0.0.8" store="ko-KR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D4C132-4642-4245-8B01-D8121309EAA7}">
  <dimension ref="A1:I92"/>
  <sheetViews>
    <sheetView workbookViewId="0">
      <selection activeCell="F31" sqref="F31"/>
    </sheetView>
  </sheetViews>
  <sheetFormatPr defaultRowHeight="15"/>
  <cols>
    <col min="1" max="1" width="29.140625" bestFit="1" customWidth="1"/>
    <col min="2" max="2" width="17.140625" bestFit="1" customWidth="1"/>
    <col min="3" max="3" width="19.5703125" bestFit="1" customWidth="1"/>
    <col min="4" max="4" width="17.140625" style="138" bestFit="1" customWidth="1"/>
    <col min="5" max="5" width="19.5703125" style="138" bestFit="1" customWidth="1"/>
    <col min="6" max="6" width="19.5703125" bestFit="1" customWidth="1"/>
    <col min="7" max="7" width="14.28515625" bestFit="1" customWidth="1"/>
    <col min="8" max="8" width="28.7109375" style="138" bestFit="1" customWidth="1"/>
    <col min="9" max="9" width="31.140625" style="138" bestFit="1" customWidth="1"/>
    <col min="10" max="10" width="17.140625" bestFit="1" customWidth="1"/>
    <col min="11" max="12" width="11.7109375" bestFit="1" customWidth="1"/>
    <col min="13" max="13" width="19.5703125" bestFit="1" customWidth="1"/>
    <col min="14" max="15" width="11.7109375" bestFit="1" customWidth="1"/>
    <col min="16" max="16" width="28.7109375" bestFit="1" customWidth="1"/>
    <col min="17" max="17" width="31.140625" bestFit="1" customWidth="1"/>
  </cols>
  <sheetData>
    <row r="1" spans="1:9" ht="16.5">
      <c r="A1" s="147" t="s">
        <v>328</v>
      </c>
    </row>
    <row r="3" spans="1:9">
      <c r="B3" s="108" t="s">
        <v>312</v>
      </c>
      <c r="D3"/>
      <c r="E3"/>
      <c r="H3"/>
      <c r="I3"/>
    </row>
    <row r="4" spans="1:9">
      <c r="B4" t="s">
        <v>9</v>
      </c>
      <c r="C4" t="s">
        <v>9</v>
      </c>
      <c r="D4" t="s">
        <v>8</v>
      </c>
      <c r="E4" t="s">
        <v>8</v>
      </c>
      <c r="H4"/>
      <c r="I4"/>
    </row>
    <row r="5" spans="1:9">
      <c r="A5" s="108" t="s">
        <v>301</v>
      </c>
      <c r="B5" t="s">
        <v>311</v>
      </c>
      <c r="C5" t="s">
        <v>327</v>
      </c>
      <c r="D5" t="s">
        <v>311</v>
      </c>
      <c r="E5" t="s">
        <v>327</v>
      </c>
      <c r="H5"/>
      <c r="I5"/>
    </row>
    <row r="6" spans="1:9">
      <c r="A6" s="109" t="s">
        <v>323</v>
      </c>
      <c r="B6" s="113">
        <v>14535422.636909105</v>
      </c>
      <c r="C6" s="143">
        <v>0.24824774179729414</v>
      </c>
      <c r="D6" s="113">
        <v>14605071.546181824</v>
      </c>
      <c r="E6" s="143">
        <v>0.24577010503325275</v>
      </c>
      <c r="H6"/>
      <c r="I6"/>
    </row>
    <row r="7" spans="1:9">
      <c r="A7" s="110" t="s">
        <v>79</v>
      </c>
      <c r="B7" s="113">
        <v>1731557</v>
      </c>
      <c r="C7" s="112">
        <v>0.23530307846199067</v>
      </c>
      <c r="D7" s="113">
        <v>1471823</v>
      </c>
      <c r="E7" s="112">
        <v>0.2353030234479204</v>
      </c>
      <c r="H7"/>
      <c r="I7"/>
    </row>
    <row r="8" spans="1:9">
      <c r="A8" s="110" t="s">
        <v>69</v>
      </c>
      <c r="B8" s="113">
        <v>388545.18181818188</v>
      </c>
      <c r="C8" s="112">
        <v>0.31818572664283229</v>
      </c>
      <c r="D8" s="113">
        <v>388544.81818181835</v>
      </c>
      <c r="E8" s="112">
        <v>0.31818542885532658</v>
      </c>
      <c r="H8"/>
      <c r="I8"/>
    </row>
    <row r="9" spans="1:9">
      <c r="A9" s="110" t="s">
        <v>70</v>
      </c>
      <c r="B9" s="113">
        <v>11585742.000000015</v>
      </c>
      <c r="C9" s="112">
        <v>0.14197659596166257</v>
      </c>
      <c r="D9" s="113">
        <v>7718872.0000000075</v>
      </c>
      <c r="E9" s="112">
        <v>0.14197654940387636</v>
      </c>
      <c r="H9"/>
      <c r="I9"/>
    </row>
    <row r="10" spans="1:9">
      <c r="A10" s="110" t="s">
        <v>305</v>
      </c>
      <c r="B10" s="113">
        <v>153499.72727272729</v>
      </c>
      <c r="C10" s="112">
        <v>0.44207313161916351</v>
      </c>
      <c r="D10" s="113"/>
      <c r="E10" s="112"/>
      <c r="H10"/>
      <c r="I10"/>
    </row>
    <row r="11" spans="1:9">
      <c r="A11" s="110" t="s">
        <v>307</v>
      </c>
      <c r="B11" s="113"/>
      <c r="C11" s="112"/>
      <c r="D11" s="113">
        <v>192715</v>
      </c>
      <c r="E11" s="112">
        <v>0.27758532527673552</v>
      </c>
      <c r="H11"/>
      <c r="I11"/>
    </row>
    <row r="12" spans="1:9">
      <c r="A12" s="110" t="s">
        <v>84</v>
      </c>
      <c r="B12" s="113"/>
      <c r="C12" s="112"/>
      <c r="D12" s="113">
        <v>1181584</v>
      </c>
      <c r="E12" s="112">
        <v>0.19999698714067632</v>
      </c>
      <c r="H12"/>
      <c r="I12"/>
    </row>
    <row r="13" spans="1:9">
      <c r="A13" s="110" t="s">
        <v>66</v>
      </c>
      <c r="B13" s="113"/>
      <c r="C13" s="112"/>
      <c r="D13" s="113">
        <v>2488370.3636363638</v>
      </c>
      <c r="E13" s="112">
        <v>0.53108415185302504</v>
      </c>
      <c r="H13"/>
      <c r="I13"/>
    </row>
    <row r="14" spans="1:9">
      <c r="A14" s="110" t="s">
        <v>309</v>
      </c>
      <c r="B14" s="113">
        <v>160174.81818181835</v>
      </c>
      <c r="C14" s="112">
        <v>9.2082108218452238E-2</v>
      </c>
      <c r="D14" s="113">
        <v>191201.54545454588</v>
      </c>
      <c r="E14" s="112">
        <v>7.054560371481737E-2</v>
      </c>
      <c r="H14"/>
      <c r="I14"/>
    </row>
    <row r="15" spans="1:9">
      <c r="A15" s="110" t="s">
        <v>71</v>
      </c>
      <c r="B15" s="113">
        <v>206609.36363636365</v>
      </c>
      <c r="C15" s="112">
        <v>0.23034067205630898</v>
      </c>
      <c r="D15" s="113">
        <v>413217.72727272729</v>
      </c>
      <c r="E15" s="112">
        <v>0.23034024302457839</v>
      </c>
      <c r="H15"/>
      <c r="I15"/>
    </row>
    <row r="16" spans="1:9">
      <c r="A16" s="110" t="s">
        <v>72</v>
      </c>
      <c r="B16" s="113"/>
      <c r="C16" s="112"/>
      <c r="D16" s="113">
        <v>146350.36363636365</v>
      </c>
      <c r="E16" s="112">
        <v>0.17491085799492256</v>
      </c>
      <c r="H16"/>
      <c r="I16"/>
    </row>
    <row r="17" spans="1:9">
      <c r="A17" s="110" t="s">
        <v>85</v>
      </c>
      <c r="B17" s="113">
        <v>309294.54599999986</v>
      </c>
      <c r="C17" s="112">
        <v>0.27777287962064867</v>
      </c>
      <c r="D17" s="113">
        <v>412392.72799999989</v>
      </c>
      <c r="E17" s="112">
        <v>0.27777287962064873</v>
      </c>
      <c r="H17"/>
      <c r="I17"/>
    </row>
    <row r="18" spans="1:9">
      <c r="A18" s="109" t="s">
        <v>325</v>
      </c>
      <c r="B18" s="113">
        <v>10068384</v>
      </c>
      <c r="C18" s="143">
        <v>0.23750951968064563</v>
      </c>
      <c r="D18" s="113">
        <v>14175187</v>
      </c>
      <c r="E18" s="143">
        <v>0.25127125624722851</v>
      </c>
      <c r="H18"/>
      <c r="I18"/>
    </row>
    <row r="19" spans="1:9">
      <c r="A19" s="110" t="s">
        <v>78</v>
      </c>
      <c r="B19" s="113">
        <v>1002664</v>
      </c>
      <c r="C19" s="112">
        <v>0.14855681216778352</v>
      </c>
      <c r="D19" s="113">
        <v>1262818</v>
      </c>
      <c r="E19" s="112">
        <v>0.11461181835392983</v>
      </c>
      <c r="H19"/>
      <c r="I19"/>
    </row>
    <row r="20" spans="1:9">
      <c r="A20" s="110" t="s">
        <v>303</v>
      </c>
      <c r="B20" s="113">
        <v>852000</v>
      </c>
      <c r="C20" s="112">
        <v>0.41520467836257308</v>
      </c>
      <c r="D20" s="113">
        <v>852000</v>
      </c>
      <c r="E20" s="112">
        <v>0.41520467836257308</v>
      </c>
      <c r="H20"/>
      <c r="I20"/>
    </row>
    <row r="21" spans="1:9">
      <c r="A21" s="110" t="s">
        <v>62</v>
      </c>
      <c r="B21" s="113">
        <v>4169532</v>
      </c>
      <c r="C21" s="112">
        <v>0.14312335078592978</v>
      </c>
      <c r="D21" s="113">
        <v>8338150</v>
      </c>
      <c r="E21" s="112">
        <v>0.1864850844250294</v>
      </c>
      <c r="H21"/>
      <c r="I21"/>
    </row>
    <row r="22" spans="1:9">
      <c r="A22" s="110" t="s">
        <v>84</v>
      </c>
      <c r="B22" s="113">
        <v>275455</v>
      </c>
      <c r="C22" s="112">
        <v>0.14871332510912375</v>
      </c>
      <c r="D22" s="113"/>
      <c r="E22" s="112"/>
      <c r="H22"/>
      <c r="I22"/>
    </row>
    <row r="23" spans="1:9">
      <c r="A23" s="110" t="s">
        <v>67</v>
      </c>
      <c r="B23" s="113">
        <v>2231137</v>
      </c>
      <c r="C23" s="112">
        <v>0.24758549608714653</v>
      </c>
      <c r="D23" s="113">
        <v>1824827</v>
      </c>
      <c r="E23" s="112">
        <v>0.2449193212957608</v>
      </c>
      <c r="H23"/>
      <c r="I23"/>
    </row>
    <row r="24" spans="1:9">
      <c r="A24" s="110" t="s">
        <v>73</v>
      </c>
      <c r="B24" s="113">
        <v>201600</v>
      </c>
      <c r="C24" s="112">
        <v>0.29577464788732394</v>
      </c>
      <c r="D24" s="113"/>
      <c r="E24" s="112"/>
      <c r="H24"/>
      <c r="I24"/>
    </row>
    <row r="25" spans="1:9">
      <c r="A25" s="110" t="s">
        <v>68</v>
      </c>
      <c r="B25" s="113">
        <v>1335996</v>
      </c>
      <c r="C25" s="112">
        <v>0.26360832736463891</v>
      </c>
      <c r="D25" s="113">
        <v>1897392</v>
      </c>
      <c r="E25" s="112">
        <v>0.29513537879884966</v>
      </c>
      <c r="H25"/>
      <c r="I25"/>
    </row>
    <row r="26" spans="1:9">
      <c r="A26" s="109" t="s">
        <v>321</v>
      </c>
      <c r="B26" s="113">
        <v>82099526.636363626</v>
      </c>
      <c r="C26" s="143">
        <v>0.22225101951578974</v>
      </c>
      <c r="D26" s="113">
        <v>78903603.090909079</v>
      </c>
      <c r="E26" s="143">
        <v>0.24002817174171817</v>
      </c>
      <c r="H26"/>
      <c r="I26"/>
    </row>
    <row r="27" spans="1:9">
      <c r="A27" s="110" t="s">
        <v>26</v>
      </c>
      <c r="B27" s="113">
        <v>251100</v>
      </c>
      <c r="C27" s="112">
        <v>0.17344753747323341</v>
      </c>
      <c r="D27" s="113">
        <v>348300</v>
      </c>
      <c r="E27" s="112">
        <v>0.17344753747323341</v>
      </c>
      <c r="H27"/>
      <c r="I27"/>
    </row>
    <row r="28" spans="1:9">
      <c r="A28" s="110" t="s">
        <v>80</v>
      </c>
      <c r="B28" s="113">
        <v>3312920</v>
      </c>
      <c r="C28" s="112">
        <v>0.20778344340539762</v>
      </c>
      <c r="D28" s="113">
        <v>3165950</v>
      </c>
      <c r="E28" s="112">
        <v>0.2077844940177335</v>
      </c>
      <c r="H28"/>
      <c r="I28"/>
    </row>
    <row r="29" spans="1:9">
      <c r="A29" s="110" t="s">
        <v>302</v>
      </c>
      <c r="B29" s="113">
        <v>6481392.2727272734</v>
      </c>
      <c r="C29" s="112">
        <v>0.28031442414905861</v>
      </c>
      <c r="D29" s="113">
        <v>7760319</v>
      </c>
      <c r="E29" s="112">
        <v>0.3243366355519694</v>
      </c>
      <c r="H29"/>
      <c r="I29"/>
    </row>
    <row r="30" spans="1:9">
      <c r="A30" s="110" t="s">
        <v>33</v>
      </c>
      <c r="B30" s="113">
        <v>648000</v>
      </c>
      <c r="C30" s="112">
        <v>0.23225806451612904</v>
      </c>
      <c r="D30" s="113">
        <v>648000</v>
      </c>
      <c r="E30" s="112">
        <v>0.23225806451612904</v>
      </c>
      <c r="H30"/>
      <c r="I30"/>
    </row>
    <row r="31" spans="1:9">
      <c r="A31" s="110" t="s">
        <v>39</v>
      </c>
      <c r="B31" s="113">
        <v>59727</v>
      </c>
      <c r="C31" s="112">
        <v>0.14102288638032523</v>
      </c>
      <c r="D31" s="113">
        <v>59727</v>
      </c>
      <c r="E31" s="112">
        <v>0.14102288638032523</v>
      </c>
      <c r="H31"/>
      <c r="I31"/>
    </row>
    <row r="32" spans="1:9">
      <c r="A32" s="110" t="s">
        <v>27</v>
      </c>
      <c r="B32" s="113">
        <v>2343256</v>
      </c>
      <c r="C32" s="112">
        <v>0.19639405266775065</v>
      </c>
      <c r="D32" s="113">
        <v>1815380</v>
      </c>
      <c r="E32" s="112">
        <v>0.19636556371621111</v>
      </c>
      <c r="H32"/>
      <c r="I32"/>
    </row>
    <row r="33" spans="1:9">
      <c r="A33" s="110" t="s">
        <v>38</v>
      </c>
      <c r="B33" s="113">
        <v>9341077</v>
      </c>
      <c r="C33" s="112">
        <v>0.3515563286561284</v>
      </c>
      <c r="D33" s="113">
        <v>5488083</v>
      </c>
      <c r="E33" s="112">
        <v>0.33464241090600683</v>
      </c>
      <c r="H33"/>
      <c r="I33"/>
    </row>
    <row r="34" spans="1:9">
      <c r="A34" s="110" t="s">
        <v>304</v>
      </c>
      <c r="B34" s="113">
        <v>2113262</v>
      </c>
      <c r="C34" s="112">
        <v>0.1848976347061192</v>
      </c>
      <c r="D34" s="113">
        <v>1598770</v>
      </c>
      <c r="E34" s="112">
        <v>0.16048668893124982</v>
      </c>
      <c r="H34"/>
      <c r="I34"/>
    </row>
    <row r="35" spans="1:9">
      <c r="A35" s="110" t="s">
        <v>25</v>
      </c>
      <c r="B35" s="113">
        <v>4027569</v>
      </c>
      <c r="C35" s="112">
        <v>0.36453309021285923</v>
      </c>
      <c r="D35" s="113">
        <v>3049433</v>
      </c>
      <c r="E35" s="112">
        <v>0.38240123153583461</v>
      </c>
      <c r="H35"/>
      <c r="I35"/>
    </row>
    <row r="36" spans="1:9">
      <c r="A36" s="110" t="s">
        <v>32</v>
      </c>
      <c r="B36" s="113">
        <v>792000</v>
      </c>
      <c r="C36" s="112">
        <v>0.31329113924050633</v>
      </c>
      <c r="D36" s="113">
        <v>990000</v>
      </c>
      <c r="E36" s="112">
        <v>0.31329113924050633</v>
      </c>
      <c r="H36"/>
      <c r="I36"/>
    </row>
    <row r="37" spans="1:9">
      <c r="A37" s="110" t="s">
        <v>306</v>
      </c>
      <c r="B37" s="113">
        <v>7352619</v>
      </c>
      <c r="C37" s="112">
        <v>0.14531255854899522</v>
      </c>
      <c r="D37" s="113">
        <v>10756969</v>
      </c>
      <c r="E37" s="112">
        <v>0.23015726095937492</v>
      </c>
      <c r="H37"/>
      <c r="I37"/>
    </row>
    <row r="38" spans="1:9">
      <c r="A38" s="110" t="s">
        <v>31</v>
      </c>
      <c r="B38" s="113">
        <v>1732364</v>
      </c>
      <c r="C38" s="112">
        <v>0.38769536232947899</v>
      </c>
      <c r="D38" s="113">
        <v>1299273</v>
      </c>
      <c r="E38" s="112">
        <v>0.38769536232947899</v>
      </c>
      <c r="H38"/>
      <c r="I38"/>
    </row>
    <row r="39" spans="1:9">
      <c r="A39" s="110" t="s">
        <v>56</v>
      </c>
      <c r="B39" s="113">
        <v>510949.81818181835</v>
      </c>
      <c r="C39" s="112">
        <v>0.27575712110532707</v>
      </c>
      <c r="D39" s="113">
        <v>502372.63636363624</v>
      </c>
      <c r="E39" s="112">
        <v>0.12747633512056133</v>
      </c>
      <c r="H39"/>
      <c r="I39"/>
    </row>
    <row r="40" spans="1:9">
      <c r="A40" s="110" t="s">
        <v>55</v>
      </c>
      <c r="B40" s="113">
        <v>4965217.1818181798</v>
      </c>
      <c r="C40" s="112">
        <v>0.16306507357749614</v>
      </c>
      <c r="D40" s="113">
        <v>4476879.1818181798</v>
      </c>
      <c r="E40" s="112">
        <v>0.17178720504260586</v>
      </c>
      <c r="H40"/>
      <c r="I40"/>
    </row>
    <row r="41" spans="1:9">
      <c r="A41" s="110" t="s">
        <v>37</v>
      </c>
      <c r="B41" s="113">
        <v>439500</v>
      </c>
      <c r="C41" s="112">
        <v>0.1744047619047619</v>
      </c>
      <c r="D41" s="113">
        <v>501600</v>
      </c>
      <c r="E41" s="112">
        <v>0.30260617760617758</v>
      </c>
      <c r="H41"/>
      <c r="I41"/>
    </row>
    <row r="42" spans="1:9">
      <c r="A42" s="110" t="s">
        <v>43</v>
      </c>
      <c r="B42" s="113">
        <v>4057677</v>
      </c>
      <c r="C42" s="112">
        <v>0.2488061657334262</v>
      </c>
      <c r="D42" s="113">
        <v>4151035</v>
      </c>
      <c r="E42" s="112">
        <v>0.24829281437322742</v>
      </c>
      <c r="H42"/>
      <c r="I42"/>
    </row>
    <row r="43" spans="1:9">
      <c r="A43" s="110" t="s">
        <v>0</v>
      </c>
      <c r="B43" s="113">
        <v>4286869</v>
      </c>
      <c r="C43" s="112">
        <v>0.1614171176656421</v>
      </c>
      <c r="D43" s="113">
        <v>3893268</v>
      </c>
      <c r="E43" s="112">
        <v>0.16641025806518073</v>
      </c>
      <c r="H43"/>
      <c r="I43"/>
    </row>
    <row r="44" spans="1:9">
      <c r="A44" s="110" t="s">
        <v>30</v>
      </c>
      <c r="B44" s="113">
        <v>877900</v>
      </c>
      <c r="C44" s="112">
        <v>4.8792145681708921E-2</v>
      </c>
      <c r="D44" s="113">
        <v>825700</v>
      </c>
      <c r="E44" s="112">
        <v>5.5428383467479372E-2</v>
      </c>
      <c r="H44"/>
      <c r="I44"/>
    </row>
    <row r="45" spans="1:9">
      <c r="A45" s="110" t="s">
        <v>308</v>
      </c>
      <c r="B45" s="113">
        <v>5281941</v>
      </c>
      <c r="C45" s="112">
        <v>0.24843281449396371</v>
      </c>
      <c r="D45" s="113">
        <v>5099035</v>
      </c>
      <c r="E45" s="112">
        <v>0.2516048395234492</v>
      </c>
      <c r="H45"/>
      <c r="I45"/>
    </row>
    <row r="46" spans="1:9">
      <c r="A46" s="110" t="s">
        <v>64</v>
      </c>
      <c r="B46" s="113">
        <v>6793556.8181818184</v>
      </c>
      <c r="C46" s="112">
        <v>0.3256687283398943</v>
      </c>
      <c r="D46" s="113">
        <v>4792069.0909090899</v>
      </c>
      <c r="E46" s="112">
        <v>0.30130503003066766</v>
      </c>
      <c r="H46"/>
      <c r="I46"/>
    </row>
    <row r="47" spans="1:9">
      <c r="A47" s="110" t="s">
        <v>65</v>
      </c>
      <c r="B47" s="113">
        <v>4163776.2727272725</v>
      </c>
      <c r="C47" s="112">
        <v>0.39964013876505255</v>
      </c>
      <c r="D47" s="113">
        <v>2827034.3636363638</v>
      </c>
      <c r="E47" s="112">
        <v>0.41698326432661764</v>
      </c>
      <c r="H47"/>
      <c r="I47"/>
    </row>
    <row r="48" spans="1:9">
      <c r="A48" s="110" t="s">
        <v>310</v>
      </c>
      <c r="B48" s="113">
        <v>1606170.2727272734</v>
      </c>
      <c r="C48" s="112">
        <v>9.9710149406416482E-2</v>
      </c>
      <c r="D48" s="113">
        <v>2778469.4545454551</v>
      </c>
      <c r="E48" s="112">
        <v>0.44767349887882296</v>
      </c>
      <c r="H48"/>
      <c r="I48"/>
    </row>
    <row r="49" spans="1:9">
      <c r="A49" s="110" t="s">
        <v>57</v>
      </c>
      <c r="B49" s="113">
        <v>4875487</v>
      </c>
      <c r="C49" s="112">
        <v>0.12031887263864791</v>
      </c>
      <c r="D49" s="113">
        <v>5119313</v>
      </c>
      <c r="E49" s="112">
        <v>0.11412142807446879</v>
      </c>
      <c r="H49"/>
      <c r="I49"/>
    </row>
    <row r="50" spans="1:9">
      <c r="A50" s="110" t="s">
        <v>22</v>
      </c>
      <c r="B50" s="113">
        <v>3780286.1818181835</v>
      </c>
      <c r="C50" s="112">
        <v>0.18030206808550076</v>
      </c>
      <c r="D50" s="113">
        <v>3940933.3636363652</v>
      </c>
      <c r="E50" s="112">
        <v>0.20224846845316335</v>
      </c>
      <c r="H50"/>
      <c r="I50"/>
    </row>
    <row r="51" spans="1:9">
      <c r="A51" s="110" t="s">
        <v>21</v>
      </c>
      <c r="B51" s="113">
        <v>1889263</v>
      </c>
      <c r="C51" s="112">
        <v>0.18274472220333338</v>
      </c>
      <c r="D51" s="113">
        <v>3015690</v>
      </c>
      <c r="E51" s="112">
        <v>0.11087731502247923</v>
      </c>
      <c r="H51"/>
      <c r="I51"/>
    </row>
    <row r="52" spans="1:9">
      <c r="A52" s="110" t="s">
        <v>86</v>
      </c>
      <c r="B52" s="113">
        <v>115646.81818181823</v>
      </c>
      <c r="C52" s="112">
        <v>0.17096010552338031</v>
      </c>
      <c r="D52" s="113"/>
      <c r="E52" s="112"/>
      <c r="H52"/>
      <c r="I52"/>
    </row>
    <row r="53" spans="1:9">
      <c r="D53"/>
      <c r="E53"/>
    </row>
    <row r="54" spans="1:9">
      <c r="D54"/>
      <c r="E54"/>
    </row>
    <row r="55" spans="1:9">
      <c r="D55"/>
      <c r="E55"/>
    </row>
    <row r="56" spans="1:9">
      <c r="D56"/>
      <c r="E56"/>
    </row>
    <row r="57" spans="1:9">
      <c r="D57"/>
      <c r="E57"/>
    </row>
    <row r="58" spans="1:9">
      <c r="D58"/>
      <c r="E58"/>
    </row>
    <row r="59" spans="1:9">
      <c r="D59"/>
      <c r="E59"/>
    </row>
    <row r="60" spans="1:9">
      <c r="D60"/>
      <c r="E60"/>
    </row>
    <row r="61" spans="1:9">
      <c r="D61"/>
      <c r="E61"/>
    </row>
    <row r="62" spans="1:9">
      <c r="D62"/>
      <c r="E62"/>
    </row>
    <row r="63" spans="1:9">
      <c r="D63"/>
      <c r="E63"/>
    </row>
    <row r="64" spans="1:9">
      <c r="D64"/>
      <c r="E64"/>
    </row>
    <row r="65" spans="4:5">
      <c r="D65"/>
      <c r="E65"/>
    </row>
    <row r="66" spans="4:5">
      <c r="D66"/>
      <c r="E66"/>
    </row>
    <row r="67" spans="4:5">
      <c r="D67"/>
      <c r="E67"/>
    </row>
    <row r="68" spans="4:5">
      <c r="D68"/>
      <c r="E68"/>
    </row>
    <row r="69" spans="4:5">
      <c r="D69"/>
      <c r="E69"/>
    </row>
    <row r="70" spans="4:5">
      <c r="D70"/>
      <c r="E70"/>
    </row>
    <row r="71" spans="4:5">
      <c r="D71"/>
      <c r="E71"/>
    </row>
    <row r="72" spans="4:5">
      <c r="D72"/>
      <c r="E72"/>
    </row>
    <row r="73" spans="4:5">
      <c r="D73"/>
      <c r="E73"/>
    </row>
    <row r="74" spans="4:5">
      <c r="D74"/>
      <c r="E74"/>
    </row>
    <row r="75" spans="4:5">
      <c r="D75"/>
      <c r="E75"/>
    </row>
    <row r="76" spans="4:5">
      <c r="D76"/>
      <c r="E76"/>
    </row>
    <row r="77" spans="4:5">
      <c r="D77"/>
      <c r="E77"/>
    </row>
    <row r="78" spans="4:5">
      <c r="D78"/>
      <c r="E78"/>
    </row>
    <row r="79" spans="4:5">
      <c r="D79"/>
      <c r="E79"/>
    </row>
    <row r="80" spans="4:5">
      <c r="D80"/>
      <c r="E80"/>
    </row>
    <row r="81" spans="4:5">
      <c r="D81"/>
      <c r="E81"/>
    </row>
    <row r="82" spans="4:5">
      <c r="D82"/>
      <c r="E82"/>
    </row>
    <row r="83" spans="4:5">
      <c r="D83"/>
      <c r="E83"/>
    </row>
    <row r="84" spans="4:5">
      <c r="D84"/>
      <c r="E84"/>
    </row>
    <row r="85" spans="4:5">
      <c r="D85"/>
      <c r="E85"/>
    </row>
    <row r="86" spans="4:5">
      <c r="D86"/>
      <c r="E86"/>
    </row>
    <row r="87" spans="4:5">
      <c r="D87"/>
      <c r="E87"/>
    </row>
    <row r="88" spans="4:5">
      <c r="D88"/>
      <c r="E88"/>
    </row>
    <row r="89" spans="4:5">
      <c r="D89"/>
      <c r="E89"/>
    </row>
    <row r="90" spans="4:5">
      <c r="D90"/>
      <c r="E90"/>
    </row>
    <row r="91" spans="4:5">
      <c r="D91"/>
      <c r="E91"/>
    </row>
    <row r="92" spans="4:5">
      <c r="D92"/>
      <c r="E92"/>
    </row>
  </sheetData>
  <phoneticPr fontId="7" type="noConversion"/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514"/>
  <sheetViews>
    <sheetView workbookViewId="0">
      <pane ySplit="2" topLeftCell="A275" activePane="bottomLeft" state="frozen"/>
      <selection activeCell="J1" sqref="J1"/>
      <selection pane="bottomLeft" activeCell="A2" sqref="A2:K495"/>
    </sheetView>
  </sheetViews>
  <sheetFormatPr defaultColWidth="9.140625" defaultRowHeight="12.75"/>
  <cols>
    <col min="1" max="1" width="8.85546875" style="72" customWidth="1"/>
    <col min="2" max="2" width="45.5703125" style="5" customWidth="1"/>
    <col min="3" max="3" width="8.85546875" style="5" customWidth="1"/>
    <col min="4" max="5" width="15.140625" style="5" customWidth="1"/>
    <col min="6" max="8" width="15.140625" style="6" customWidth="1"/>
    <col min="9" max="9" width="15.140625" style="5" customWidth="1"/>
    <col min="10" max="10" width="28" style="5" customWidth="1"/>
    <col min="11" max="13" width="9.140625" style="5"/>
    <col min="14" max="15" width="13.42578125" style="5" customWidth="1"/>
    <col min="16" max="16384" width="9.140625" style="5"/>
  </cols>
  <sheetData>
    <row r="1" spans="1:18">
      <c r="A1" s="2"/>
    </row>
    <row r="2" spans="1:18" ht="13.5">
      <c r="A2" s="7" t="s">
        <v>87</v>
      </c>
      <c r="B2" s="7" t="s">
        <v>88</v>
      </c>
      <c r="C2" s="7" t="s">
        <v>89</v>
      </c>
      <c r="D2" s="7" t="s">
        <v>90</v>
      </c>
      <c r="E2" s="7" t="s">
        <v>91</v>
      </c>
      <c r="F2" s="8" t="s">
        <v>92</v>
      </c>
      <c r="G2" s="8" t="s">
        <v>93</v>
      </c>
      <c r="H2" s="8" t="s">
        <v>94</v>
      </c>
      <c r="I2" s="9" t="s">
        <v>95</v>
      </c>
      <c r="J2" s="7" t="s">
        <v>96</v>
      </c>
      <c r="K2" s="1"/>
    </row>
    <row r="3" spans="1:18" ht="13.5">
      <c r="A3" s="10" t="s">
        <v>97</v>
      </c>
      <c r="B3" s="11" t="s">
        <v>98</v>
      </c>
      <c r="C3" s="12">
        <v>1</v>
      </c>
      <c r="D3" s="12">
        <v>500000</v>
      </c>
      <c r="E3" s="12">
        <v>500000</v>
      </c>
      <c r="F3" s="13">
        <v>454545</v>
      </c>
      <c r="G3" s="13">
        <f>C3*F3</f>
        <v>454545</v>
      </c>
      <c r="H3" s="13">
        <f>E3-G3</f>
        <v>45455</v>
      </c>
      <c r="I3" s="14">
        <f>H3/E3</f>
        <v>9.0910000000000005E-2</v>
      </c>
      <c r="J3" s="15" t="s">
        <v>99</v>
      </c>
      <c r="K3" s="1"/>
      <c r="M3" s="50"/>
      <c r="N3" s="50" t="s">
        <v>51</v>
      </c>
      <c r="O3" s="50" t="s">
        <v>63</v>
      </c>
    </row>
    <row r="4" spans="1:18" ht="13.5">
      <c r="A4" s="10" t="s">
        <v>97</v>
      </c>
      <c r="B4" s="11" t="s">
        <v>100</v>
      </c>
      <c r="C4" s="12">
        <v>50</v>
      </c>
      <c r="D4" s="12">
        <v>17711</v>
      </c>
      <c r="E4" s="12">
        <v>885545</v>
      </c>
      <c r="F4" s="13">
        <v>13637</v>
      </c>
      <c r="G4" s="13">
        <f t="shared" ref="G4:G12" si="0">C4*F4</f>
        <v>681850</v>
      </c>
      <c r="H4" s="13">
        <f t="shared" ref="H4:H12" si="1">E4-G4</f>
        <v>203695</v>
      </c>
      <c r="I4" s="14">
        <f t="shared" ref="I4:I12" si="2">H4/E4</f>
        <v>0.23002218972497163</v>
      </c>
      <c r="J4" s="15" t="s">
        <v>99</v>
      </c>
      <c r="K4" s="1"/>
      <c r="M4" s="128" t="s">
        <v>317</v>
      </c>
      <c r="N4" s="129">
        <f ca="1">N11</f>
        <v>106703333.27327275</v>
      </c>
      <c r="O4" s="50">
        <f ca="1">O11</f>
        <v>107683861.63709092</v>
      </c>
    </row>
    <row r="5" spans="1:18" ht="13.5">
      <c r="A5" s="10" t="s">
        <v>101</v>
      </c>
      <c r="B5" s="11" t="s">
        <v>102</v>
      </c>
      <c r="C5" s="12">
        <v>30</v>
      </c>
      <c r="D5" s="12">
        <v>20659</v>
      </c>
      <c r="E5" s="12">
        <v>619773</v>
      </c>
      <c r="F5" s="13">
        <v>15907</v>
      </c>
      <c r="G5" s="13">
        <f t="shared" si="0"/>
        <v>477210</v>
      </c>
      <c r="H5" s="13">
        <f t="shared" si="1"/>
        <v>142563</v>
      </c>
      <c r="I5" s="14">
        <f t="shared" si="2"/>
        <v>0.23002454124332619</v>
      </c>
      <c r="J5" s="15" t="s">
        <v>99</v>
      </c>
      <c r="K5" s="1"/>
      <c r="M5" s="128" t="s">
        <v>318</v>
      </c>
      <c r="N5" s="130">
        <f ca="1">N12</f>
        <v>0.19467069030192657</v>
      </c>
      <c r="O5" s="130">
        <f ca="1">O12</f>
        <v>0.20692765691533901</v>
      </c>
    </row>
    <row r="6" spans="1:18" ht="13.5">
      <c r="A6" s="10" t="s">
        <v>101</v>
      </c>
      <c r="B6" s="11" t="s">
        <v>103</v>
      </c>
      <c r="C6" s="12">
        <v>60</v>
      </c>
      <c r="D6" s="12">
        <v>25740</v>
      </c>
      <c r="E6" s="12">
        <v>1544400</v>
      </c>
      <c r="F6" s="13">
        <v>19820</v>
      </c>
      <c r="G6" s="13">
        <f t="shared" si="0"/>
        <v>1189200</v>
      </c>
      <c r="H6" s="13">
        <f t="shared" si="1"/>
        <v>355200</v>
      </c>
      <c r="I6" s="14">
        <f t="shared" si="2"/>
        <v>0.22999222999222999</v>
      </c>
      <c r="J6" s="15" t="s">
        <v>99</v>
      </c>
      <c r="K6" s="1"/>
    </row>
    <row r="7" spans="1:18" ht="13.5">
      <c r="A7" s="10" t="s">
        <v>101</v>
      </c>
      <c r="B7" s="11" t="s">
        <v>104</v>
      </c>
      <c r="C7" s="12">
        <v>20</v>
      </c>
      <c r="D7" s="12">
        <v>38846</v>
      </c>
      <c r="E7" s="12">
        <v>776927</v>
      </c>
      <c r="F7" s="13">
        <v>29911</v>
      </c>
      <c r="G7" s="13">
        <f t="shared" si="0"/>
        <v>598220</v>
      </c>
      <c r="H7" s="13">
        <f t="shared" si="1"/>
        <v>178707</v>
      </c>
      <c r="I7" s="14">
        <f t="shared" si="2"/>
        <v>0.23001774941532474</v>
      </c>
      <c r="J7" s="15" t="s">
        <v>99</v>
      </c>
      <c r="K7" s="1"/>
    </row>
    <row r="8" spans="1:18" ht="13.5">
      <c r="A8" s="10" t="s">
        <v>101</v>
      </c>
      <c r="B8" s="11" t="s">
        <v>1</v>
      </c>
      <c r="C8" s="12">
        <v>810</v>
      </c>
      <c r="D8" s="12">
        <v>4964</v>
      </c>
      <c r="E8" s="12">
        <v>4020545</v>
      </c>
      <c r="F8" s="13">
        <v>3600</v>
      </c>
      <c r="G8" s="13">
        <f t="shared" si="0"/>
        <v>2916000</v>
      </c>
      <c r="H8" s="13">
        <f t="shared" si="1"/>
        <v>1104545</v>
      </c>
      <c r="I8" s="14">
        <f t="shared" si="2"/>
        <v>0.27472519272884649</v>
      </c>
      <c r="J8" s="15" t="s">
        <v>99</v>
      </c>
      <c r="K8" s="1"/>
      <c r="M8" s="123"/>
      <c r="N8" s="124" t="s">
        <v>319</v>
      </c>
      <c r="O8" s="125" t="s">
        <v>320</v>
      </c>
    </row>
    <row r="9" spans="1:18" ht="13.5">
      <c r="A9" s="10" t="s">
        <v>101</v>
      </c>
      <c r="B9" s="11" t="s">
        <v>2</v>
      </c>
      <c r="C9" s="12">
        <v>60</v>
      </c>
      <c r="D9" s="12">
        <v>11500</v>
      </c>
      <c r="E9" s="12">
        <v>690000</v>
      </c>
      <c r="F9" s="13">
        <v>11300</v>
      </c>
      <c r="G9" s="13">
        <f t="shared" si="0"/>
        <v>678000</v>
      </c>
      <c r="H9" s="13">
        <f t="shared" si="1"/>
        <v>12000</v>
      </c>
      <c r="I9" s="14">
        <f t="shared" si="2"/>
        <v>1.7391304347826087E-2</v>
      </c>
      <c r="J9" s="15" t="s">
        <v>99</v>
      </c>
      <c r="K9" s="1"/>
      <c r="M9" s="127" t="s">
        <v>315</v>
      </c>
      <c r="N9" s="32">
        <f ca="1">SUMIF($A$3:$B$495,"*2026/01*",$E$3:$E495)</f>
        <v>548122232</v>
      </c>
      <c r="O9" s="32">
        <f ca="1">SUMIF($A$3:$B$495,"*2026/02*",$E$3:$E495)</f>
        <v>520393761</v>
      </c>
    </row>
    <row r="10" spans="1:18" ht="13.5">
      <c r="A10" s="10" t="s">
        <v>101</v>
      </c>
      <c r="B10" s="11" t="s">
        <v>3</v>
      </c>
      <c r="C10" s="12">
        <v>768</v>
      </c>
      <c r="D10" s="12">
        <v>5100</v>
      </c>
      <c r="E10" s="12">
        <v>3916800</v>
      </c>
      <c r="F10" s="13">
        <v>3700</v>
      </c>
      <c r="G10" s="13">
        <f t="shared" si="0"/>
        <v>2841600</v>
      </c>
      <c r="H10" s="13">
        <f t="shared" si="1"/>
        <v>1075200</v>
      </c>
      <c r="I10" s="14">
        <f t="shared" si="2"/>
        <v>0.27450980392156865</v>
      </c>
      <c r="J10" s="15" t="s">
        <v>99</v>
      </c>
      <c r="K10" s="1"/>
      <c r="M10" s="119" t="s">
        <v>316</v>
      </c>
      <c r="N10" s="32">
        <f ca="1">SUMIF($A$3:$B$495,"*2026/01*",$G$3:$G495)</f>
        <v>441418898.72672725</v>
      </c>
      <c r="O10" s="32">
        <f ca="1">SUMIF($A$3:$B$495,"*2026/02*",$G$3:$G495)</f>
        <v>412709899.36290908</v>
      </c>
    </row>
    <row r="11" spans="1:18" ht="13.5">
      <c r="A11" s="10" t="s">
        <v>101</v>
      </c>
      <c r="B11" s="11" t="s">
        <v>4</v>
      </c>
      <c r="C11" s="12">
        <v>460</v>
      </c>
      <c r="D11" s="12">
        <v>12000</v>
      </c>
      <c r="E11" s="12">
        <v>5520000</v>
      </c>
      <c r="F11" s="13">
        <v>11900</v>
      </c>
      <c r="G11" s="13">
        <f t="shared" si="0"/>
        <v>5474000</v>
      </c>
      <c r="H11" s="13">
        <f t="shared" si="1"/>
        <v>46000</v>
      </c>
      <c r="I11" s="14">
        <f t="shared" si="2"/>
        <v>8.3333333333333332E-3</v>
      </c>
      <c r="J11" s="15" t="s">
        <v>99</v>
      </c>
      <c r="K11" s="1"/>
      <c r="M11" s="119" t="s">
        <v>313</v>
      </c>
      <c r="N11" s="114">
        <f ca="1">N9-N10</f>
        <v>106703333.27327275</v>
      </c>
      <c r="O11" s="114">
        <f ca="1">O9-O10</f>
        <v>107683861.63709092</v>
      </c>
    </row>
    <row r="12" spans="1:18" ht="13.5">
      <c r="A12" s="10" t="s">
        <v>101</v>
      </c>
      <c r="B12" s="11" t="s">
        <v>5</v>
      </c>
      <c r="C12" s="12">
        <v>300</v>
      </c>
      <c r="D12" s="12">
        <v>12000</v>
      </c>
      <c r="E12" s="12">
        <v>3600000</v>
      </c>
      <c r="F12" s="13">
        <v>11900</v>
      </c>
      <c r="G12" s="13">
        <f t="shared" si="0"/>
        <v>3570000</v>
      </c>
      <c r="H12" s="13">
        <f t="shared" si="1"/>
        <v>30000</v>
      </c>
      <c r="I12" s="14">
        <f t="shared" si="2"/>
        <v>8.3333333333333332E-3</v>
      </c>
      <c r="J12" s="15" t="s">
        <v>99</v>
      </c>
      <c r="K12" s="1"/>
      <c r="M12" s="119" t="s">
        <v>314</v>
      </c>
      <c r="N12" s="118">
        <f ca="1">N11/N9</f>
        <v>0.19467069030192657</v>
      </c>
      <c r="O12" s="118">
        <f ca="1">O11/O9</f>
        <v>0.20692765691533901</v>
      </c>
    </row>
    <row r="13" spans="1:18" ht="13.5">
      <c r="A13" s="10" t="s">
        <v>101</v>
      </c>
      <c r="B13" s="11" t="s">
        <v>105</v>
      </c>
      <c r="C13" s="12">
        <v>16</v>
      </c>
      <c r="D13" s="12">
        <v>26000</v>
      </c>
      <c r="E13" s="12">
        <v>416000</v>
      </c>
      <c r="F13" s="13">
        <v>18000</v>
      </c>
      <c r="G13" s="13">
        <f>C13*F13</f>
        <v>288000</v>
      </c>
      <c r="H13" s="13">
        <f>E13-G13</f>
        <v>128000</v>
      </c>
      <c r="I13" s="14">
        <f>H13/E13</f>
        <v>0.30769230769230771</v>
      </c>
      <c r="J13" s="15" t="s">
        <v>99</v>
      </c>
      <c r="K13" s="1"/>
    </row>
    <row r="14" spans="1:18" ht="13.5">
      <c r="A14" s="10" t="s">
        <v>101</v>
      </c>
      <c r="B14" s="11" t="s">
        <v>6</v>
      </c>
      <c r="C14" s="12">
        <v>6</v>
      </c>
      <c r="D14" s="12">
        <v>70000</v>
      </c>
      <c r="E14" s="12">
        <v>420000</v>
      </c>
      <c r="F14" s="13">
        <v>55000</v>
      </c>
      <c r="G14" s="13">
        <f t="shared" ref="G14:G16" si="3">C14*F14</f>
        <v>330000</v>
      </c>
      <c r="H14" s="13">
        <f t="shared" ref="H14:H16" si="4">E14-G14</f>
        <v>90000</v>
      </c>
      <c r="I14" s="14">
        <f t="shared" ref="I14:I16" si="5">H14/E14</f>
        <v>0.21428571428571427</v>
      </c>
      <c r="J14" s="15" t="s">
        <v>99</v>
      </c>
      <c r="K14" s="1"/>
      <c r="M14" s="132" t="s">
        <v>315</v>
      </c>
      <c r="N14" s="133" t="s">
        <v>51</v>
      </c>
      <c r="O14" s="133" t="s">
        <v>63</v>
      </c>
      <c r="P14" s="72"/>
      <c r="Q14" s="72"/>
      <c r="R14" s="72"/>
    </row>
    <row r="15" spans="1:18" ht="13.5">
      <c r="A15" s="10" t="s">
        <v>101</v>
      </c>
      <c r="B15" s="11" t="s">
        <v>106</v>
      </c>
      <c r="C15" s="12">
        <v>270</v>
      </c>
      <c r="D15" s="12">
        <v>11003</v>
      </c>
      <c r="E15" s="12">
        <v>2970736</v>
      </c>
      <c r="F15" s="13">
        <v>8362</v>
      </c>
      <c r="G15" s="13">
        <f t="shared" si="3"/>
        <v>2257740</v>
      </c>
      <c r="H15" s="13">
        <f t="shared" si="4"/>
        <v>712996</v>
      </c>
      <c r="I15" s="14">
        <f t="shared" si="5"/>
        <v>0.24000651690355521</v>
      </c>
      <c r="J15" s="15" t="s">
        <v>99</v>
      </c>
      <c r="K15" s="1"/>
      <c r="M15" s="1" t="s">
        <v>322</v>
      </c>
      <c r="N15" s="6">
        <f>SUMIFS($E$3:$E$495,$A$3:$A$495,"*2026/01*",$K$3:$K$495,"한상민")</f>
        <v>399134405</v>
      </c>
      <c r="O15" s="6">
        <f>SUMIFS($E$3:$E$495,$A$3:$A$495,"*2026/02*",$K$3:$K$495,"한상민")</f>
        <v>368583860</v>
      </c>
    </row>
    <row r="16" spans="1:18" ht="13.5">
      <c r="A16" s="16" t="s">
        <v>101</v>
      </c>
      <c r="B16" s="17" t="s">
        <v>107</v>
      </c>
      <c r="C16" s="18">
        <v>62</v>
      </c>
      <c r="D16" s="18">
        <v>10919</v>
      </c>
      <c r="E16" s="18">
        <v>676984</v>
      </c>
      <c r="F16" s="19">
        <v>8298</v>
      </c>
      <c r="G16" s="19">
        <f t="shared" si="3"/>
        <v>514476</v>
      </c>
      <c r="H16" s="19">
        <f t="shared" si="4"/>
        <v>162508</v>
      </c>
      <c r="I16" s="20">
        <f t="shared" si="5"/>
        <v>0.2400470321307446</v>
      </c>
      <c r="J16" s="17" t="s">
        <v>99</v>
      </c>
      <c r="K16" s="1"/>
      <c r="M16" s="1" t="s">
        <v>324</v>
      </c>
      <c r="N16" s="6">
        <f>SUMIFS($E$3:$E$495,$A$3:$A$495,"*2026/01*",$K$3:$K$495,"김경환")</f>
        <v>94440479</v>
      </c>
      <c r="O16" s="6">
        <f>SUMIFS($E$3:$E$495,$A$3:$A$495,"*2026/02*",$K$3:$K$495,"김경환")</f>
        <v>80147914</v>
      </c>
    </row>
    <row r="17" spans="1:15" ht="13.5">
      <c r="A17" s="148" t="s">
        <v>108</v>
      </c>
      <c r="B17" s="149"/>
      <c r="C17" s="22">
        <v>2913</v>
      </c>
      <c r="D17" s="22">
        <v>766442</v>
      </c>
      <c r="E17" s="22">
        <v>26557710</v>
      </c>
      <c r="F17" s="23"/>
      <c r="G17" s="24">
        <v>22270841</v>
      </c>
      <c r="H17" s="24">
        <f>SUM(H3:H16)</f>
        <v>4286869</v>
      </c>
      <c r="I17" s="25">
        <f t="shared" ref="I17" si="6">H17/E17</f>
        <v>0.1614171176656421</v>
      </c>
      <c r="J17" s="21" t="s">
        <v>109</v>
      </c>
      <c r="K17" s="1" t="s">
        <v>322</v>
      </c>
      <c r="M17" s="1" t="s">
        <v>326</v>
      </c>
      <c r="N17" s="6">
        <f>SUMIFS($E$3:$E$495,$A$3:$A$495,"*2026/01*",$K$3:$K$495,"손지영")</f>
        <v>54547348</v>
      </c>
      <c r="O17" s="6">
        <f>SUMIFS($E$3:$E$495,$A$3:$A$495,"*2026/02*",$K$3:$K$495,"손지영")</f>
        <v>71661987</v>
      </c>
    </row>
    <row r="18" spans="1:15" ht="12" customHeight="1">
      <c r="A18" s="26" t="s">
        <v>110</v>
      </c>
      <c r="B18" s="27" t="s">
        <v>98</v>
      </c>
      <c r="C18" s="28">
        <v>1</v>
      </c>
      <c r="D18" s="28">
        <v>500000</v>
      </c>
      <c r="E18" s="28">
        <v>500000</v>
      </c>
      <c r="F18" s="29">
        <v>454545</v>
      </c>
      <c r="G18" s="29">
        <f>C18*F18</f>
        <v>454545</v>
      </c>
      <c r="H18" s="29">
        <f>E18-G18</f>
        <v>45455</v>
      </c>
      <c r="I18" s="30">
        <f>H18/E18</f>
        <v>9.0910000000000005E-2</v>
      </c>
      <c r="J18" s="27" t="s">
        <v>99</v>
      </c>
      <c r="K18" s="1"/>
      <c r="M18" s="134" t="s">
        <v>316</v>
      </c>
      <c r="N18" s="135" t="s">
        <v>51</v>
      </c>
      <c r="O18" s="135" t="s">
        <v>63</v>
      </c>
    </row>
    <row r="19" spans="1:15" ht="12" customHeight="1">
      <c r="A19" s="10" t="s">
        <v>110</v>
      </c>
      <c r="B19" s="15" t="s">
        <v>100</v>
      </c>
      <c r="C19" s="31">
        <v>80</v>
      </c>
      <c r="D19" s="31">
        <v>17711</v>
      </c>
      <c r="E19" s="31">
        <v>1416873</v>
      </c>
      <c r="F19" s="13">
        <v>13637</v>
      </c>
      <c r="G19" s="13">
        <f t="shared" ref="G19:G35" si="7">C19*F19</f>
        <v>1090960</v>
      </c>
      <c r="H19" s="13">
        <f t="shared" ref="H19:H35" si="8">E19-G19</f>
        <v>325913</v>
      </c>
      <c r="I19" s="14">
        <f t="shared" ref="I19:I35" si="9">H19/E19</f>
        <v>0.23002273315957042</v>
      </c>
      <c r="J19" s="15" t="s">
        <v>99</v>
      </c>
      <c r="K19" s="1"/>
      <c r="M19" s="1" t="s">
        <v>322</v>
      </c>
      <c r="N19" s="6">
        <f>SUMIFS($G$3:$G$495,$A$3:$A$495,"*2026/01*",$K$3:$K$495,"한상민")</f>
        <v>317034878.36363637</v>
      </c>
      <c r="O19" s="6">
        <f>SUMIFS($G$3:$G$495,$A$3:$A$495,"*2026/02*",$K$3:$K$495,"한상민")</f>
        <v>289680256.90909094</v>
      </c>
    </row>
    <row r="20" spans="1:15" ht="12" customHeight="1">
      <c r="A20" s="10" t="s">
        <v>111</v>
      </c>
      <c r="B20" s="15" t="s">
        <v>102</v>
      </c>
      <c r="C20" s="31">
        <v>40</v>
      </c>
      <c r="D20" s="31">
        <v>20659</v>
      </c>
      <c r="E20" s="31">
        <v>826364</v>
      </c>
      <c r="F20" s="13">
        <v>15907</v>
      </c>
      <c r="G20" s="13">
        <f t="shared" si="7"/>
        <v>636280</v>
      </c>
      <c r="H20" s="13">
        <f t="shared" si="8"/>
        <v>190084</v>
      </c>
      <c r="I20" s="14">
        <f t="shared" si="9"/>
        <v>0.23002454124332619</v>
      </c>
      <c r="J20" s="15" t="s">
        <v>99</v>
      </c>
      <c r="K20" s="1"/>
      <c r="M20" s="1" t="s">
        <v>324</v>
      </c>
      <c r="N20" s="6">
        <f>SUMIFS($G$3:$G$495,$A$3:$A$495,"*2026/01*",$K$3:$K$495,"김경환")</f>
        <v>79905056.363090888</v>
      </c>
      <c r="O20" s="6">
        <f>SUMIFS($G$3:$G$495,$A$3:$A$495,"*2026/02*",$K$3:$K$495,"김경환")</f>
        <v>65542842.453818172</v>
      </c>
    </row>
    <row r="21" spans="1:15" ht="12" customHeight="1">
      <c r="A21" s="10" t="s">
        <v>111</v>
      </c>
      <c r="B21" s="15" t="s">
        <v>103</v>
      </c>
      <c r="C21" s="31">
        <v>35</v>
      </c>
      <c r="D21" s="31">
        <v>25740</v>
      </c>
      <c r="E21" s="31">
        <v>900900</v>
      </c>
      <c r="F21" s="13">
        <v>19820</v>
      </c>
      <c r="G21" s="13">
        <f t="shared" si="7"/>
        <v>693700</v>
      </c>
      <c r="H21" s="13">
        <f t="shared" si="8"/>
        <v>207200</v>
      </c>
      <c r="I21" s="14">
        <f t="shared" si="9"/>
        <v>0.22999222999222999</v>
      </c>
      <c r="J21" s="15" t="s">
        <v>99</v>
      </c>
      <c r="K21" s="1"/>
      <c r="M21" s="1" t="s">
        <v>326</v>
      </c>
      <c r="N21" s="6">
        <f>SUMIFS($G$3:$G$495,$A$3:$A$495,"*2026/01*",$K$3:$K$495,"손지영")</f>
        <v>44478964</v>
      </c>
      <c r="O21" s="6">
        <f>SUMIFS($G$3:$G$495,$A$3:$A$495,"*2026/02*",$K$3:$K$495,"손지영")</f>
        <v>57486800</v>
      </c>
    </row>
    <row r="22" spans="1:15" ht="12" customHeight="1">
      <c r="A22" s="10" t="s">
        <v>111</v>
      </c>
      <c r="B22" s="15" t="s">
        <v>104</v>
      </c>
      <c r="C22" s="31">
        <v>20</v>
      </c>
      <c r="D22" s="31">
        <v>38846</v>
      </c>
      <c r="E22" s="31">
        <v>776927</v>
      </c>
      <c r="F22" s="13">
        <v>29911</v>
      </c>
      <c r="G22" s="13">
        <f t="shared" si="7"/>
        <v>598220</v>
      </c>
      <c r="H22" s="13">
        <f t="shared" si="8"/>
        <v>178707</v>
      </c>
      <c r="I22" s="14">
        <f t="shared" si="9"/>
        <v>0.23001774941532474</v>
      </c>
      <c r="J22" s="15" t="s">
        <v>99</v>
      </c>
      <c r="K22" s="1"/>
      <c r="M22" s="136" t="s">
        <v>313</v>
      </c>
      <c r="N22" s="137" t="s">
        <v>51</v>
      </c>
      <c r="O22" s="137" t="s">
        <v>63</v>
      </c>
    </row>
    <row r="23" spans="1:15" ht="12" customHeight="1">
      <c r="A23" s="10" t="s">
        <v>111</v>
      </c>
      <c r="B23" s="15" t="s">
        <v>1</v>
      </c>
      <c r="C23" s="31">
        <v>660</v>
      </c>
      <c r="D23" s="31">
        <v>4964</v>
      </c>
      <c r="E23" s="31">
        <v>3276000</v>
      </c>
      <c r="F23" s="13">
        <v>3600</v>
      </c>
      <c r="G23" s="13">
        <f t="shared" si="7"/>
        <v>2376000</v>
      </c>
      <c r="H23" s="13">
        <f t="shared" si="8"/>
        <v>900000</v>
      </c>
      <c r="I23" s="14">
        <f t="shared" si="9"/>
        <v>0.27472527472527475</v>
      </c>
      <c r="J23" s="15" t="s">
        <v>99</v>
      </c>
      <c r="K23" s="1"/>
      <c r="M23" s="1" t="s">
        <v>322</v>
      </c>
      <c r="N23" s="6">
        <f t="shared" ref="N23:O25" si="10">N15-N19</f>
        <v>82099526.636363626</v>
      </c>
      <c r="O23" s="6">
        <f t="shared" si="10"/>
        <v>78903603.090909064</v>
      </c>
    </row>
    <row r="24" spans="1:15" ht="12" customHeight="1">
      <c r="A24" s="10" t="s">
        <v>111</v>
      </c>
      <c r="B24" s="15" t="s">
        <v>2</v>
      </c>
      <c r="C24" s="31">
        <v>80</v>
      </c>
      <c r="D24" s="31">
        <v>11500</v>
      </c>
      <c r="E24" s="31">
        <v>920000</v>
      </c>
      <c r="F24" s="13">
        <v>11300</v>
      </c>
      <c r="G24" s="13">
        <f t="shared" si="7"/>
        <v>904000</v>
      </c>
      <c r="H24" s="13">
        <f t="shared" si="8"/>
        <v>16000</v>
      </c>
      <c r="I24" s="14">
        <f t="shared" si="9"/>
        <v>1.7391304347826087E-2</v>
      </c>
      <c r="J24" s="15" t="s">
        <v>99</v>
      </c>
      <c r="K24" s="1"/>
      <c r="M24" s="1" t="s">
        <v>324</v>
      </c>
      <c r="N24" s="6">
        <f t="shared" si="10"/>
        <v>14535422.636909112</v>
      </c>
      <c r="O24" s="6">
        <f t="shared" si="10"/>
        <v>14605071.546181828</v>
      </c>
    </row>
    <row r="25" spans="1:15" ht="12" customHeight="1">
      <c r="A25" s="10" t="s">
        <v>111</v>
      </c>
      <c r="B25" s="15" t="s">
        <v>3</v>
      </c>
      <c r="C25" s="31">
        <v>624</v>
      </c>
      <c r="D25" s="31">
        <v>5100</v>
      </c>
      <c r="E25" s="31">
        <v>3182400</v>
      </c>
      <c r="F25" s="13">
        <v>3700</v>
      </c>
      <c r="G25" s="13">
        <f t="shared" si="7"/>
        <v>2308800</v>
      </c>
      <c r="H25" s="13">
        <f t="shared" si="8"/>
        <v>873600</v>
      </c>
      <c r="I25" s="14">
        <f t="shared" si="9"/>
        <v>0.27450980392156865</v>
      </c>
      <c r="J25" s="15" t="s">
        <v>99</v>
      </c>
      <c r="K25" s="1"/>
      <c r="M25" s="1" t="s">
        <v>326</v>
      </c>
      <c r="N25" s="114">
        <f t="shared" si="10"/>
        <v>10068384</v>
      </c>
      <c r="O25" s="114">
        <f t="shared" si="10"/>
        <v>14175187</v>
      </c>
    </row>
    <row r="26" spans="1:15" ht="12" customHeight="1">
      <c r="A26" s="10" t="s">
        <v>111</v>
      </c>
      <c r="B26" s="15" t="s">
        <v>4</v>
      </c>
      <c r="C26" s="31">
        <v>360</v>
      </c>
      <c r="D26" s="31">
        <v>12000</v>
      </c>
      <c r="E26" s="31">
        <v>4320000</v>
      </c>
      <c r="F26" s="13">
        <v>11900</v>
      </c>
      <c r="G26" s="13">
        <f t="shared" si="7"/>
        <v>4284000</v>
      </c>
      <c r="H26" s="13">
        <f t="shared" si="8"/>
        <v>36000</v>
      </c>
      <c r="I26" s="14">
        <f t="shared" si="9"/>
        <v>8.3333333333333332E-3</v>
      </c>
      <c r="J26" s="15" t="s">
        <v>99</v>
      </c>
      <c r="K26" s="1"/>
      <c r="M26" s="144" t="s">
        <v>314</v>
      </c>
      <c r="N26" s="145" t="s">
        <v>51</v>
      </c>
      <c r="O26" s="145" t="s">
        <v>63</v>
      </c>
    </row>
    <row r="27" spans="1:15" ht="12" customHeight="1">
      <c r="A27" s="10" t="s">
        <v>111</v>
      </c>
      <c r="B27" s="15" t="s">
        <v>5</v>
      </c>
      <c r="C27" s="31">
        <v>240</v>
      </c>
      <c r="D27" s="31">
        <v>12000</v>
      </c>
      <c r="E27" s="31">
        <v>2880000</v>
      </c>
      <c r="F27" s="13">
        <v>11900</v>
      </c>
      <c r="G27" s="13">
        <f t="shared" si="7"/>
        <v>2856000</v>
      </c>
      <c r="H27" s="13">
        <f t="shared" si="8"/>
        <v>24000</v>
      </c>
      <c r="I27" s="14">
        <f t="shared" si="9"/>
        <v>8.3333333333333332E-3</v>
      </c>
      <c r="J27" s="15" t="s">
        <v>99</v>
      </c>
      <c r="K27" s="1"/>
      <c r="M27" s="4" t="s">
        <v>322</v>
      </c>
      <c r="N27" s="146">
        <f t="shared" ref="N27:O29" si="11">N23/N15</f>
        <v>0.20569393569658226</v>
      </c>
      <c r="O27" s="146">
        <f t="shared" si="11"/>
        <v>0.21407232289256797</v>
      </c>
    </row>
    <row r="28" spans="1:15" ht="12" customHeight="1">
      <c r="A28" s="10" t="s">
        <v>111</v>
      </c>
      <c r="B28" s="15" t="s">
        <v>105</v>
      </c>
      <c r="C28" s="31">
        <v>12</v>
      </c>
      <c r="D28" s="31">
        <v>26000</v>
      </c>
      <c r="E28" s="31">
        <v>312000</v>
      </c>
      <c r="F28" s="13">
        <v>18000</v>
      </c>
      <c r="G28" s="13">
        <f t="shared" si="7"/>
        <v>216000</v>
      </c>
      <c r="H28" s="13">
        <f t="shared" si="8"/>
        <v>96000</v>
      </c>
      <c r="I28" s="14">
        <f t="shared" si="9"/>
        <v>0.30769230769230771</v>
      </c>
      <c r="J28" s="15" t="s">
        <v>99</v>
      </c>
      <c r="K28" s="1"/>
      <c r="M28" s="4" t="s">
        <v>324</v>
      </c>
      <c r="N28" s="146">
        <f t="shared" si="11"/>
        <v>0.15391093724661342</v>
      </c>
      <c r="O28" s="146">
        <f t="shared" si="11"/>
        <v>0.18222647124891894</v>
      </c>
    </row>
    <row r="29" spans="1:15" ht="12" customHeight="1">
      <c r="A29" s="10" t="s">
        <v>111</v>
      </c>
      <c r="B29" s="15" t="s">
        <v>6</v>
      </c>
      <c r="C29" s="31">
        <v>6</v>
      </c>
      <c r="D29" s="31">
        <v>70000</v>
      </c>
      <c r="E29" s="31">
        <v>420000</v>
      </c>
      <c r="F29" s="13">
        <v>55000</v>
      </c>
      <c r="G29" s="13">
        <f t="shared" si="7"/>
        <v>330000</v>
      </c>
      <c r="H29" s="13">
        <f t="shared" si="8"/>
        <v>90000</v>
      </c>
      <c r="I29" s="14">
        <f t="shared" si="9"/>
        <v>0.21428571428571427</v>
      </c>
      <c r="J29" s="15" t="s">
        <v>99</v>
      </c>
      <c r="K29" s="1"/>
      <c r="M29" s="4" t="s">
        <v>326</v>
      </c>
      <c r="N29" s="146">
        <f t="shared" si="11"/>
        <v>0.18458063259097399</v>
      </c>
      <c r="O29" s="146">
        <f t="shared" si="11"/>
        <v>0.19780622326310879</v>
      </c>
    </row>
    <row r="30" spans="1:15" ht="12" customHeight="1">
      <c r="A30" s="10" t="s">
        <v>111</v>
      </c>
      <c r="B30" s="15" t="s">
        <v>106</v>
      </c>
      <c r="C30" s="31">
        <v>215</v>
      </c>
      <c r="D30" s="31">
        <v>11003</v>
      </c>
      <c r="E30" s="31">
        <v>2365586</v>
      </c>
      <c r="F30" s="13">
        <v>8362</v>
      </c>
      <c r="G30" s="13">
        <f t="shared" si="7"/>
        <v>1797830</v>
      </c>
      <c r="H30" s="13">
        <f t="shared" si="8"/>
        <v>567756</v>
      </c>
      <c r="I30" s="14">
        <f t="shared" si="9"/>
        <v>0.24000649310572517</v>
      </c>
      <c r="J30" s="15" t="s">
        <v>99</v>
      </c>
      <c r="K30" s="1"/>
      <c r="N30" s="118"/>
    </row>
    <row r="31" spans="1:15" ht="12" customHeight="1">
      <c r="A31" s="10" t="s">
        <v>111</v>
      </c>
      <c r="B31" s="15" t="s">
        <v>107</v>
      </c>
      <c r="C31" s="31">
        <v>40</v>
      </c>
      <c r="D31" s="31">
        <v>10919</v>
      </c>
      <c r="E31" s="31">
        <v>436764</v>
      </c>
      <c r="F31" s="13">
        <v>8298</v>
      </c>
      <c r="G31" s="13">
        <f t="shared" si="7"/>
        <v>331920</v>
      </c>
      <c r="H31" s="13">
        <f t="shared" si="8"/>
        <v>104844</v>
      </c>
      <c r="I31" s="14">
        <f t="shared" si="9"/>
        <v>0.24004725664203094</v>
      </c>
      <c r="J31" s="15" t="s">
        <v>99</v>
      </c>
      <c r="K31" s="1"/>
    </row>
    <row r="32" spans="1:15" ht="12" customHeight="1">
      <c r="A32" s="10" t="s">
        <v>111</v>
      </c>
      <c r="B32" s="15" t="s">
        <v>7</v>
      </c>
      <c r="C32" s="31">
        <v>5</v>
      </c>
      <c r="D32" s="31">
        <v>22727</v>
      </c>
      <c r="E32" s="31">
        <v>113636</v>
      </c>
      <c r="F32" s="13">
        <v>50000</v>
      </c>
      <c r="G32" s="13">
        <f t="shared" si="7"/>
        <v>250000</v>
      </c>
      <c r="H32" s="13">
        <f t="shared" si="8"/>
        <v>-136364</v>
      </c>
      <c r="I32" s="14">
        <f t="shared" si="9"/>
        <v>-1.200007040022528</v>
      </c>
      <c r="J32" s="15" t="s">
        <v>99</v>
      </c>
      <c r="K32" s="1"/>
    </row>
    <row r="33" spans="1:11" ht="12" customHeight="1">
      <c r="A33" s="10" t="s">
        <v>111</v>
      </c>
      <c r="B33" s="15" t="s">
        <v>112</v>
      </c>
      <c r="C33" s="31">
        <v>3</v>
      </c>
      <c r="D33" s="31">
        <v>103527</v>
      </c>
      <c r="E33" s="31">
        <v>310582</v>
      </c>
      <c r="F33" s="13">
        <v>51764</v>
      </c>
      <c r="G33" s="13">
        <f t="shared" si="7"/>
        <v>155292</v>
      </c>
      <c r="H33" s="13">
        <f t="shared" si="8"/>
        <v>155290</v>
      </c>
      <c r="I33" s="14">
        <f t="shared" si="9"/>
        <v>0.49999678023839117</v>
      </c>
      <c r="J33" s="15" t="s">
        <v>99</v>
      </c>
      <c r="K33" s="1"/>
    </row>
    <row r="34" spans="1:11" ht="12" customHeight="1">
      <c r="A34" s="10" t="s">
        <v>111</v>
      </c>
      <c r="B34" s="15" t="s">
        <v>113</v>
      </c>
      <c r="C34" s="31">
        <v>5</v>
      </c>
      <c r="D34" s="31">
        <v>76647</v>
      </c>
      <c r="E34" s="31">
        <v>383236</v>
      </c>
      <c r="F34" s="13">
        <v>38324</v>
      </c>
      <c r="G34" s="13">
        <f t="shared" si="7"/>
        <v>191620</v>
      </c>
      <c r="H34" s="13">
        <f t="shared" si="8"/>
        <v>191616</v>
      </c>
      <c r="I34" s="14">
        <f t="shared" si="9"/>
        <v>0.49999478128359548</v>
      </c>
      <c r="J34" s="15" t="s">
        <v>99</v>
      </c>
      <c r="K34" s="1"/>
    </row>
    <row r="35" spans="1:11" ht="12" customHeight="1">
      <c r="A35" s="16" t="s">
        <v>111</v>
      </c>
      <c r="B35" s="17" t="s">
        <v>114</v>
      </c>
      <c r="C35" s="18">
        <v>1</v>
      </c>
      <c r="D35" s="18">
        <v>54333</v>
      </c>
      <c r="E35" s="18">
        <v>54333</v>
      </c>
      <c r="F35" s="19">
        <v>27166</v>
      </c>
      <c r="G35" s="19">
        <f t="shared" si="7"/>
        <v>27166</v>
      </c>
      <c r="H35" s="19">
        <f t="shared" si="8"/>
        <v>27167</v>
      </c>
      <c r="I35" s="20">
        <f t="shared" si="9"/>
        <v>0.50000920251044489</v>
      </c>
      <c r="J35" s="17" t="s">
        <v>115</v>
      </c>
      <c r="K35" s="1"/>
    </row>
    <row r="36" spans="1:11" ht="13.5">
      <c r="A36" s="148" t="s">
        <v>116</v>
      </c>
      <c r="B36" s="149"/>
      <c r="C36" s="22">
        <v>2427</v>
      </c>
      <c r="D36" s="22">
        <v>1023676</v>
      </c>
      <c r="E36" s="22">
        <v>23395601</v>
      </c>
      <c r="F36" s="24"/>
      <c r="G36" s="24">
        <v>19502333</v>
      </c>
      <c r="H36" s="24">
        <f>SUM(H18:H35)</f>
        <v>3893268</v>
      </c>
      <c r="I36" s="25">
        <f>H36/E36</f>
        <v>0.16641025806518073</v>
      </c>
      <c r="J36" s="21" t="s">
        <v>117</v>
      </c>
      <c r="K36" s="1" t="s">
        <v>322</v>
      </c>
    </row>
    <row r="37" spans="1:11" ht="13.5">
      <c r="A37" s="26" t="s">
        <v>101</v>
      </c>
      <c r="B37" s="27" t="s">
        <v>2</v>
      </c>
      <c r="C37" s="28">
        <v>120</v>
      </c>
      <c r="D37" s="28">
        <v>16635</v>
      </c>
      <c r="E37" s="28">
        <v>1996145</v>
      </c>
      <c r="F37" s="32">
        <v>15000</v>
      </c>
      <c r="G37" s="29">
        <f t="shared" ref="G37" si="12">C37*F37</f>
        <v>1800000</v>
      </c>
      <c r="H37" s="29">
        <f t="shared" ref="H37" si="13">E37-G37</f>
        <v>196145</v>
      </c>
      <c r="I37" s="30">
        <f t="shared" ref="I37" si="14">H37/E37</f>
        <v>9.8261899811887418E-2</v>
      </c>
      <c r="J37" s="27" t="s">
        <v>118</v>
      </c>
      <c r="K37" s="1"/>
    </row>
    <row r="38" spans="1:11" ht="13.5">
      <c r="A38" s="10" t="s">
        <v>101</v>
      </c>
      <c r="B38" s="11" t="s">
        <v>10</v>
      </c>
      <c r="C38" s="12">
        <v>140</v>
      </c>
      <c r="D38" s="12">
        <v>17489</v>
      </c>
      <c r="E38" s="12">
        <v>2448473</v>
      </c>
      <c r="F38" s="6">
        <v>15000</v>
      </c>
      <c r="G38" s="13">
        <f t="shared" ref="G38:G45" si="15">C38*F38</f>
        <v>2100000</v>
      </c>
      <c r="H38" s="13">
        <f t="shared" ref="H38:H45" si="16">E38-G38</f>
        <v>348473</v>
      </c>
      <c r="I38" s="14">
        <f t="shared" ref="I38:I45" si="17">H38/E38</f>
        <v>0.14232258227883257</v>
      </c>
      <c r="J38" s="11" t="s">
        <v>118</v>
      </c>
      <c r="K38" s="1"/>
    </row>
    <row r="39" spans="1:11" ht="13.5">
      <c r="A39" s="10" t="s">
        <v>101</v>
      </c>
      <c r="B39" s="11" t="s">
        <v>11</v>
      </c>
      <c r="C39" s="12">
        <v>600</v>
      </c>
      <c r="D39" s="12">
        <v>523</v>
      </c>
      <c r="E39" s="12">
        <v>313636</v>
      </c>
      <c r="F39" s="6">
        <v>435</v>
      </c>
      <c r="G39" s="13">
        <f t="shared" si="15"/>
        <v>261000</v>
      </c>
      <c r="H39" s="13">
        <f t="shared" si="16"/>
        <v>52636</v>
      </c>
      <c r="I39" s="14">
        <f t="shared" si="17"/>
        <v>0.16782512211608361</v>
      </c>
      <c r="J39" s="11" t="s">
        <v>118</v>
      </c>
      <c r="K39" s="1"/>
    </row>
    <row r="40" spans="1:11" ht="13.5">
      <c r="A40" s="10" t="s">
        <v>101</v>
      </c>
      <c r="B40" s="11" t="s">
        <v>12</v>
      </c>
      <c r="C40" s="12">
        <v>1200</v>
      </c>
      <c r="D40" s="12">
        <v>523</v>
      </c>
      <c r="E40" s="12">
        <v>627273</v>
      </c>
      <c r="F40" s="6">
        <v>435</v>
      </c>
      <c r="G40" s="13">
        <f t="shared" si="15"/>
        <v>522000</v>
      </c>
      <c r="H40" s="13">
        <f t="shared" si="16"/>
        <v>105273</v>
      </c>
      <c r="I40" s="14">
        <f t="shared" si="17"/>
        <v>0.16782644877110922</v>
      </c>
      <c r="J40" s="11" t="s">
        <v>118</v>
      </c>
      <c r="K40" s="1"/>
    </row>
    <row r="41" spans="1:11" ht="13.5">
      <c r="A41" s="10" t="s">
        <v>101</v>
      </c>
      <c r="B41" s="11" t="s">
        <v>13</v>
      </c>
      <c r="C41" s="12">
        <v>60</v>
      </c>
      <c r="D41" s="12">
        <v>19564</v>
      </c>
      <c r="E41" s="12">
        <v>1173818</v>
      </c>
      <c r="F41" s="6">
        <v>16000</v>
      </c>
      <c r="G41" s="13">
        <f t="shared" si="15"/>
        <v>960000</v>
      </c>
      <c r="H41" s="13">
        <f t="shared" si="16"/>
        <v>213818</v>
      </c>
      <c r="I41" s="14">
        <f t="shared" si="17"/>
        <v>0.18215600714931957</v>
      </c>
      <c r="J41" s="11" t="s">
        <v>118</v>
      </c>
      <c r="K41" s="1"/>
    </row>
    <row r="42" spans="1:11" ht="13.5">
      <c r="A42" s="10" t="s">
        <v>101</v>
      </c>
      <c r="B42" s="11" t="s">
        <v>14</v>
      </c>
      <c r="C42" s="12">
        <v>60</v>
      </c>
      <c r="D42" s="12">
        <v>15170</v>
      </c>
      <c r="E42" s="12">
        <v>910200</v>
      </c>
      <c r="F42" s="6">
        <v>11000</v>
      </c>
      <c r="G42" s="13">
        <f t="shared" si="15"/>
        <v>660000</v>
      </c>
      <c r="H42" s="13">
        <f t="shared" si="16"/>
        <v>250200</v>
      </c>
      <c r="I42" s="14">
        <f t="shared" si="17"/>
        <v>0.27488464073829927</v>
      </c>
      <c r="J42" s="11" t="s">
        <v>118</v>
      </c>
      <c r="K42" s="1"/>
    </row>
    <row r="43" spans="1:11" ht="13.5">
      <c r="A43" s="10" t="s">
        <v>101</v>
      </c>
      <c r="B43" s="11" t="s">
        <v>15</v>
      </c>
      <c r="C43" s="12">
        <v>320</v>
      </c>
      <c r="D43" s="12">
        <v>6277</v>
      </c>
      <c r="E43" s="12">
        <v>2008727</v>
      </c>
      <c r="F43" s="6">
        <v>5000</v>
      </c>
      <c r="G43" s="13">
        <f t="shared" si="15"/>
        <v>1600000</v>
      </c>
      <c r="H43" s="13">
        <f t="shared" si="16"/>
        <v>408727</v>
      </c>
      <c r="I43" s="14">
        <f t="shared" si="17"/>
        <v>0.20347563407073235</v>
      </c>
      <c r="J43" s="11" t="s">
        <v>118</v>
      </c>
      <c r="K43" s="1"/>
    </row>
    <row r="44" spans="1:11" ht="13.5">
      <c r="A44" s="10" t="s">
        <v>101</v>
      </c>
      <c r="B44" s="11" t="s">
        <v>6</v>
      </c>
      <c r="C44" s="12">
        <v>6</v>
      </c>
      <c r="D44" s="12">
        <v>80559</v>
      </c>
      <c r="E44" s="12">
        <v>483355</v>
      </c>
      <c r="F44" s="6">
        <v>55000</v>
      </c>
      <c r="G44" s="13">
        <f t="shared" si="15"/>
        <v>330000</v>
      </c>
      <c r="H44" s="13">
        <f t="shared" si="16"/>
        <v>153355</v>
      </c>
      <c r="I44" s="14">
        <f t="shared" si="17"/>
        <v>0.3172719843593218</v>
      </c>
      <c r="J44" s="11" t="s">
        <v>118</v>
      </c>
      <c r="K44" s="1"/>
    </row>
    <row r="45" spans="1:11" ht="13.5">
      <c r="A45" s="16" t="s">
        <v>101</v>
      </c>
      <c r="B45" s="17" t="s">
        <v>119</v>
      </c>
      <c r="C45" s="18">
        <v>12</v>
      </c>
      <c r="D45" s="18">
        <v>31386</v>
      </c>
      <c r="E45" s="18">
        <v>376636</v>
      </c>
      <c r="F45" s="32">
        <v>18000</v>
      </c>
      <c r="G45" s="19">
        <f t="shared" si="15"/>
        <v>216000</v>
      </c>
      <c r="H45" s="19">
        <f t="shared" si="16"/>
        <v>160636</v>
      </c>
      <c r="I45" s="20">
        <f t="shared" si="17"/>
        <v>0.42650198069223333</v>
      </c>
      <c r="J45" s="17" t="s">
        <v>118</v>
      </c>
      <c r="K45" s="1"/>
    </row>
    <row r="46" spans="1:11" ht="13.5">
      <c r="A46" s="148" t="s">
        <v>120</v>
      </c>
      <c r="B46" s="149"/>
      <c r="C46" s="22">
        <v>2518</v>
      </c>
      <c r="D46" s="22">
        <v>188125</v>
      </c>
      <c r="E46" s="22">
        <v>10338263</v>
      </c>
      <c r="F46" s="33"/>
      <c r="G46" s="33">
        <v>8449000</v>
      </c>
      <c r="H46" s="24">
        <f t="shared" ref="H46" si="18">E46-G46</f>
        <v>1889263</v>
      </c>
      <c r="I46" s="25">
        <f t="shared" ref="I46" si="19">H46/E46</f>
        <v>0.18274472220333338</v>
      </c>
      <c r="J46" s="21" t="s">
        <v>121</v>
      </c>
      <c r="K46" s="1" t="s">
        <v>322</v>
      </c>
    </row>
    <row r="47" spans="1:11" ht="13.5">
      <c r="A47" s="26" t="s">
        <v>111</v>
      </c>
      <c r="B47" s="27" t="s">
        <v>2</v>
      </c>
      <c r="C47" s="28">
        <v>160</v>
      </c>
      <c r="D47" s="28">
        <v>16635</v>
      </c>
      <c r="E47" s="28">
        <v>2661527</v>
      </c>
      <c r="F47" s="32">
        <v>15000</v>
      </c>
      <c r="G47" s="29">
        <f t="shared" ref="G47" si="20">C47*F47</f>
        <v>2400000</v>
      </c>
      <c r="H47" s="29">
        <f t="shared" ref="H47" si="21">E47-G47</f>
        <v>261527</v>
      </c>
      <c r="I47" s="30">
        <f t="shared" ref="I47" si="22">H47/E47</f>
        <v>9.8262012746817895E-2</v>
      </c>
      <c r="J47" s="27" t="s">
        <v>118</v>
      </c>
      <c r="K47" s="1"/>
    </row>
    <row r="48" spans="1:11" ht="13.5">
      <c r="A48" s="10" t="s">
        <v>111</v>
      </c>
      <c r="B48" s="11" t="s">
        <v>10</v>
      </c>
      <c r="C48" s="12">
        <v>160</v>
      </c>
      <c r="D48" s="12">
        <v>17489</v>
      </c>
      <c r="E48" s="12">
        <v>2798255</v>
      </c>
      <c r="F48" s="6">
        <v>15000</v>
      </c>
      <c r="G48" s="13">
        <f t="shared" ref="G48:G59" si="23">C48*F48</f>
        <v>2400000</v>
      </c>
      <c r="H48" s="13">
        <f t="shared" ref="H48:H59" si="24">E48-G48</f>
        <v>398255</v>
      </c>
      <c r="I48" s="14">
        <f t="shared" ref="I48:I59" si="25">H48/E48</f>
        <v>0.14232262606517276</v>
      </c>
      <c r="J48" s="11" t="s">
        <v>118</v>
      </c>
      <c r="K48" s="1"/>
    </row>
    <row r="49" spans="1:11" ht="13.5">
      <c r="A49" s="10" t="s">
        <v>111</v>
      </c>
      <c r="B49" s="11" t="s">
        <v>11</v>
      </c>
      <c r="C49" s="12">
        <v>900</v>
      </c>
      <c r="D49" s="12">
        <v>523</v>
      </c>
      <c r="E49" s="12">
        <v>470455</v>
      </c>
      <c r="F49" s="6">
        <v>435</v>
      </c>
      <c r="G49" s="13">
        <f t="shared" si="23"/>
        <v>391500</v>
      </c>
      <c r="H49" s="13">
        <f t="shared" si="24"/>
        <v>78955</v>
      </c>
      <c r="I49" s="14">
        <f t="shared" si="25"/>
        <v>0.16782689098851111</v>
      </c>
      <c r="J49" s="11" t="s">
        <v>118</v>
      </c>
      <c r="K49" s="1"/>
    </row>
    <row r="50" spans="1:11" ht="13.5">
      <c r="A50" s="10" t="s">
        <v>111</v>
      </c>
      <c r="B50" s="11" t="s">
        <v>12</v>
      </c>
      <c r="C50" s="12">
        <v>1350</v>
      </c>
      <c r="D50" s="12">
        <v>523</v>
      </c>
      <c r="E50" s="12">
        <v>705682</v>
      </c>
      <c r="F50" s="6">
        <v>435</v>
      </c>
      <c r="G50" s="13">
        <f t="shared" si="23"/>
        <v>587250</v>
      </c>
      <c r="H50" s="13">
        <f t="shared" si="24"/>
        <v>118432</v>
      </c>
      <c r="I50" s="14">
        <f t="shared" si="25"/>
        <v>0.16782630136520416</v>
      </c>
      <c r="J50" s="11" t="s">
        <v>118</v>
      </c>
      <c r="K50" s="1"/>
    </row>
    <row r="51" spans="1:11" ht="13.5">
      <c r="A51" s="10" t="s">
        <v>111</v>
      </c>
      <c r="B51" s="11" t="s">
        <v>13</v>
      </c>
      <c r="C51" s="12">
        <v>100</v>
      </c>
      <c r="D51" s="12">
        <v>19564</v>
      </c>
      <c r="E51" s="12">
        <v>1956364</v>
      </c>
      <c r="F51" s="6">
        <v>16000</v>
      </c>
      <c r="G51" s="13">
        <f t="shared" si="23"/>
        <v>1600000</v>
      </c>
      <c r="H51" s="13">
        <f t="shared" si="24"/>
        <v>356364</v>
      </c>
      <c r="I51" s="14">
        <f t="shared" si="25"/>
        <v>0.18215628584455654</v>
      </c>
      <c r="J51" s="11" t="s">
        <v>118</v>
      </c>
      <c r="K51" s="1"/>
    </row>
    <row r="52" spans="1:11" ht="13.5">
      <c r="A52" s="10" t="s">
        <v>111</v>
      </c>
      <c r="B52" s="11" t="s">
        <v>14</v>
      </c>
      <c r="C52" s="12">
        <v>144</v>
      </c>
      <c r="D52" s="12">
        <v>15170</v>
      </c>
      <c r="E52" s="12">
        <v>2184480</v>
      </c>
      <c r="F52" s="6">
        <v>11000</v>
      </c>
      <c r="G52" s="13">
        <f t="shared" si="23"/>
        <v>1584000</v>
      </c>
      <c r="H52" s="13">
        <f t="shared" si="24"/>
        <v>600480</v>
      </c>
      <c r="I52" s="14">
        <f t="shared" si="25"/>
        <v>0.27488464073829927</v>
      </c>
      <c r="J52" s="11" t="s">
        <v>118</v>
      </c>
      <c r="K52" s="1"/>
    </row>
    <row r="53" spans="1:11" ht="13.5">
      <c r="A53" s="10" t="s">
        <v>111</v>
      </c>
      <c r="B53" s="11" t="s">
        <v>15</v>
      </c>
      <c r="C53" s="12">
        <v>380</v>
      </c>
      <c r="D53" s="12">
        <v>6277</v>
      </c>
      <c r="E53" s="12">
        <v>2385364</v>
      </c>
      <c r="F53" s="6">
        <v>5000</v>
      </c>
      <c r="G53" s="13">
        <f t="shared" si="23"/>
        <v>1900000</v>
      </c>
      <c r="H53" s="13">
        <f t="shared" si="24"/>
        <v>485364</v>
      </c>
      <c r="I53" s="14">
        <f t="shared" si="25"/>
        <v>0.20347586364177542</v>
      </c>
      <c r="J53" s="11" t="s">
        <v>118</v>
      </c>
      <c r="K53" s="1"/>
    </row>
    <row r="54" spans="1:11" ht="13.5">
      <c r="A54" s="10" t="s">
        <v>111</v>
      </c>
      <c r="B54" s="11" t="s">
        <v>119</v>
      </c>
      <c r="C54" s="12">
        <v>8</v>
      </c>
      <c r="D54" s="12">
        <v>31386</v>
      </c>
      <c r="E54" s="12">
        <v>251091</v>
      </c>
      <c r="F54" s="6">
        <v>18000</v>
      </c>
      <c r="G54" s="13">
        <f t="shared" si="23"/>
        <v>144000</v>
      </c>
      <c r="H54" s="13">
        <f t="shared" si="24"/>
        <v>107091</v>
      </c>
      <c r="I54" s="14">
        <f t="shared" si="25"/>
        <v>0.42650274203376465</v>
      </c>
      <c r="J54" s="11" t="s">
        <v>118</v>
      </c>
      <c r="K54" s="1"/>
    </row>
    <row r="55" spans="1:11" ht="13.5">
      <c r="A55" s="10" t="s">
        <v>111</v>
      </c>
      <c r="B55" s="11" t="s">
        <v>16</v>
      </c>
      <c r="C55" s="12">
        <v>520</v>
      </c>
      <c r="D55" s="12">
        <v>7324</v>
      </c>
      <c r="E55" s="12">
        <v>3808291</v>
      </c>
      <c r="F55" s="6">
        <v>7000</v>
      </c>
      <c r="G55" s="13">
        <f t="shared" si="23"/>
        <v>3640000</v>
      </c>
      <c r="H55" s="13">
        <f t="shared" si="24"/>
        <v>168291</v>
      </c>
      <c r="I55" s="14">
        <f t="shared" si="25"/>
        <v>4.4190688159071879E-2</v>
      </c>
      <c r="J55" s="11" t="s">
        <v>118</v>
      </c>
      <c r="K55" s="1"/>
    </row>
    <row r="56" spans="1:11" ht="13.5">
      <c r="A56" s="10" t="s">
        <v>111</v>
      </c>
      <c r="B56" s="11" t="s">
        <v>17</v>
      </c>
      <c r="C56" s="12">
        <v>144</v>
      </c>
      <c r="D56" s="12">
        <v>16740</v>
      </c>
      <c r="E56" s="12">
        <v>2410560</v>
      </c>
      <c r="F56" s="6">
        <v>16000</v>
      </c>
      <c r="G56" s="13">
        <f t="shared" si="23"/>
        <v>2304000</v>
      </c>
      <c r="H56" s="13">
        <f t="shared" si="24"/>
        <v>106560</v>
      </c>
      <c r="I56" s="14">
        <f t="shared" si="25"/>
        <v>4.4205495818399047E-2</v>
      </c>
      <c r="J56" s="11" t="s">
        <v>118</v>
      </c>
      <c r="K56" s="1"/>
    </row>
    <row r="57" spans="1:11" ht="13.5">
      <c r="A57" s="10" t="s">
        <v>111</v>
      </c>
      <c r="B57" s="11" t="s">
        <v>18</v>
      </c>
      <c r="C57" s="12">
        <v>264</v>
      </c>
      <c r="D57" s="12">
        <v>16740</v>
      </c>
      <c r="E57" s="12">
        <v>4419360</v>
      </c>
      <c r="F57" s="6">
        <v>16000</v>
      </c>
      <c r="G57" s="13">
        <f t="shared" si="23"/>
        <v>4224000</v>
      </c>
      <c r="H57" s="13">
        <f t="shared" si="24"/>
        <v>195360</v>
      </c>
      <c r="I57" s="14">
        <f t="shared" si="25"/>
        <v>4.4205495818399047E-2</v>
      </c>
      <c r="J57" s="11" t="s">
        <v>118</v>
      </c>
      <c r="K57" s="1"/>
    </row>
    <row r="58" spans="1:11" ht="13.5">
      <c r="A58" s="10" t="s">
        <v>111</v>
      </c>
      <c r="B58" s="11" t="s">
        <v>19</v>
      </c>
      <c r="C58" s="12">
        <v>16</v>
      </c>
      <c r="D58" s="12">
        <v>83697</v>
      </c>
      <c r="E58" s="12">
        <v>1339156</v>
      </c>
      <c r="F58" s="6">
        <v>80000</v>
      </c>
      <c r="G58" s="13">
        <f t="shared" si="23"/>
        <v>1280000</v>
      </c>
      <c r="H58" s="13">
        <f t="shared" si="24"/>
        <v>59156</v>
      </c>
      <c r="I58" s="14">
        <f t="shared" si="25"/>
        <v>4.4174091741365454E-2</v>
      </c>
      <c r="J58" s="11" t="s">
        <v>118</v>
      </c>
      <c r="K58" s="1"/>
    </row>
    <row r="59" spans="1:11" ht="13.5">
      <c r="A59" s="16" t="s">
        <v>111</v>
      </c>
      <c r="B59" s="17" t="s">
        <v>20</v>
      </c>
      <c r="C59" s="18">
        <v>96</v>
      </c>
      <c r="D59" s="18">
        <v>18832</v>
      </c>
      <c r="E59" s="18">
        <v>1807855</v>
      </c>
      <c r="F59" s="32">
        <v>18000</v>
      </c>
      <c r="G59" s="19">
        <f t="shared" si="23"/>
        <v>1728000</v>
      </c>
      <c r="H59" s="19">
        <f t="shared" si="24"/>
        <v>79855</v>
      </c>
      <c r="I59" s="20">
        <f t="shared" si="25"/>
        <v>4.4171130981190417E-2</v>
      </c>
      <c r="J59" s="17" t="s">
        <v>118</v>
      </c>
      <c r="K59" s="1"/>
    </row>
    <row r="60" spans="1:11" ht="13.5">
      <c r="A60" s="150" t="s">
        <v>122</v>
      </c>
      <c r="B60" s="151"/>
      <c r="C60" s="22">
        <v>4242</v>
      </c>
      <c r="D60" s="22">
        <v>250899</v>
      </c>
      <c r="E60" s="22">
        <v>27198440</v>
      </c>
      <c r="F60" s="33"/>
      <c r="G60" s="33">
        <v>24182750</v>
      </c>
      <c r="H60" s="24">
        <f t="shared" ref="H60:H61" si="26">E60-G60</f>
        <v>3015690</v>
      </c>
      <c r="I60" s="25">
        <f t="shared" ref="I60:I61" si="27">H60/E60</f>
        <v>0.11087731502247923</v>
      </c>
      <c r="J60" s="21" t="s">
        <v>121</v>
      </c>
      <c r="K60" s="1" t="s">
        <v>322</v>
      </c>
    </row>
    <row r="61" spans="1:11" ht="13.5">
      <c r="A61" s="26" t="s">
        <v>101</v>
      </c>
      <c r="B61" s="27" t="s">
        <v>1</v>
      </c>
      <c r="C61" s="28">
        <v>540</v>
      </c>
      <c r="D61" s="28">
        <v>4740</v>
      </c>
      <c r="E61" s="34">
        <v>2559600</v>
      </c>
      <c r="F61" s="35">
        <v>3870</v>
      </c>
      <c r="G61" s="35">
        <f t="shared" ref="G61" si="28">C61*F61</f>
        <v>2089800</v>
      </c>
      <c r="H61" s="35">
        <f t="shared" si="26"/>
        <v>469800</v>
      </c>
      <c r="I61" s="37">
        <f t="shared" si="27"/>
        <v>0.18354430379746836</v>
      </c>
      <c r="J61" s="38" t="s">
        <v>123</v>
      </c>
      <c r="K61" s="1"/>
    </row>
    <row r="62" spans="1:11" ht="13.5">
      <c r="A62" s="10" t="s">
        <v>101</v>
      </c>
      <c r="B62" s="11" t="s">
        <v>124</v>
      </c>
      <c r="C62" s="12">
        <v>160</v>
      </c>
      <c r="D62" s="12">
        <v>13448</v>
      </c>
      <c r="E62" s="39">
        <v>2151709</v>
      </c>
      <c r="F62" s="40">
        <f>11407/1.1</f>
        <v>10370</v>
      </c>
      <c r="G62" s="40">
        <f t="shared" ref="G62:G78" si="29">C62*F62</f>
        <v>1659200</v>
      </c>
      <c r="H62" s="40">
        <f t="shared" ref="H62:H79" si="30">E62-G62</f>
        <v>492509</v>
      </c>
      <c r="I62" s="42">
        <f t="shared" ref="I62:I79" si="31">H62/E62</f>
        <v>0.22889201095501296</v>
      </c>
      <c r="J62" s="43" t="s">
        <v>123</v>
      </c>
      <c r="K62" s="1"/>
    </row>
    <row r="63" spans="1:11" ht="13.5">
      <c r="A63" s="10" t="s">
        <v>101</v>
      </c>
      <c r="B63" s="11" t="s">
        <v>102</v>
      </c>
      <c r="C63" s="12">
        <v>40</v>
      </c>
      <c r="D63" s="12">
        <v>19626</v>
      </c>
      <c r="E63" s="39">
        <v>785055</v>
      </c>
      <c r="F63" s="40">
        <f>16710.1/1.1</f>
        <v>15190.999999999998</v>
      </c>
      <c r="G63" s="40">
        <f t="shared" si="29"/>
        <v>607639.99999999988</v>
      </c>
      <c r="H63" s="40">
        <f t="shared" si="30"/>
        <v>177415.00000000012</v>
      </c>
      <c r="I63" s="42">
        <f t="shared" si="31"/>
        <v>0.22599053569495145</v>
      </c>
      <c r="J63" s="43" t="s">
        <v>123</v>
      </c>
      <c r="K63" s="1"/>
    </row>
    <row r="64" spans="1:11" ht="13.5">
      <c r="A64" s="10" t="s">
        <v>101</v>
      </c>
      <c r="B64" s="11" t="s">
        <v>103</v>
      </c>
      <c r="C64" s="12">
        <v>110</v>
      </c>
      <c r="D64" s="12">
        <v>24453</v>
      </c>
      <c r="E64" s="39">
        <v>2689800</v>
      </c>
      <c r="F64" s="40">
        <f>21965/1.1</f>
        <v>19968.181818181816</v>
      </c>
      <c r="G64" s="40">
        <f t="shared" si="29"/>
        <v>2196500</v>
      </c>
      <c r="H64" s="40">
        <f t="shared" si="30"/>
        <v>493300</v>
      </c>
      <c r="I64" s="42">
        <f t="shared" si="31"/>
        <v>0.18339653505836864</v>
      </c>
      <c r="J64" s="43" t="s">
        <v>123</v>
      </c>
      <c r="K64" s="1"/>
    </row>
    <row r="65" spans="1:11" ht="13.5">
      <c r="A65" s="10" t="s">
        <v>101</v>
      </c>
      <c r="B65" s="11" t="s">
        <v>125</v>
      </c>
      <c r="C65" s="12">
        <v>40</v>
      </c>
      <c r="D65" s="12">
        <v>36904</v>
      </c>
      <c r="E65" s="39">
        <v>1476145</v>
      </c>
      <c r="F65" s="40">
        <f>32143.98/1.1</f>
        <v>29221.799999999996</v>
      </c>
      <c r="G65" s="40">
        <f t="shared" si="29"/>
        <v>1168871.9999999998</v>
      </c>
      <c r="H65" s="40">
        <f t="shared" si="30"/>
        <v>307273.00000000023</v>
      </c>
      <c r="I65" s="42">
        <f t="shared" si="31"/>
        <v>0.20815909006229077</v>
      </c>
      <c r="J65" s="43" t="s">
        <v>123</v>
      </c>
      <c r="K65" s="1"/>
    </row>
    <row r="66" spans="1:11" ht="13.5">
      <c r="A66" s="10" t="s">
        <v>101</v>
      </c>
      <c r="B66" s="11" t="s">
        <v>126</v>
      </c>
      <c r="C66" s="12">
        <v>1100</v>
      </c>
      <c r="D66" s="12">
        <v>8112</v>
      </c>
      <c r="E66" s="39">
        <v>8923000</v>
      </c>
      <c r="F66" s="40">
        <v>6555</v>
      </c>
      <c r="G66" s="40">
        <f t="shared" si="29"/>
        <v>7210500</v>
      </c>
      <c r="H66" s="40">
        <f t="shared" si="30"/>
        <v>1712500</v>
      </c>
      <c r="I66" s="42">
        <f t="shared" si="31"/>
        <v>0.19191975792894767</v>
      </c>
      <c r="J66" s="43" t="s">
        <v>123</v>
      </c>
      <c r="K66" s="1"/>
    </row>
    <row r="67" spans="1:11" ht="13.5">
      <c r="A67" s="10" t="s">
        <v>101</v>
      </c>
      <c r="B67" s="11" t="s">
        <v>127</v>
      </c>
      <c r="C67" s="12">
        <v>155</v>
      </c>
      <c r="D67" s="12">
        <v>8355</v>
      </c>
      <c r="E67" s="39">
        <v>1294955</v>
      </c>
      <c r="F67" s="40">
        <v>6835</v>
      </c>
      <c r="G67" s="40">
        <f t="shared" si="29"/>
        <v>1059425</v>
      </c>
      <c r="H67" s="40">
        <f t="shared" si="30"/>
        <v>235530</v>
      </c>
      <c r="I67" s="42">
        <f t="shared" si="31"/>
        <v>0.18188276812707777</v>
      </c>
      <c r="J67" s="43" t="s">
        <v>123</v>
      </c>
      <c r="K67" s="1"/>
    </row>
    <row r="68" spans="1:11" ht="13.5">
      <c r="A68" s="10" t="s">
        <v>101</v>
      </c>
      <c r="B68" s="11" t="s">
        <v>128</v>
      </c>
      <c r="C68" s="12">
        <v>20</v>
      </c>
      <c r="D68" s="12">
        <v>65913</v>
      </c>
      <c r="E68" s="39">
        <v>1318255</v>
      </c>
      <c r="F68" s="40">
        <f>46980/1.1</f>
        <v>42709.090909090904</v>
      </c>
      <c r="G68" s="40">
        <f t="shared" si="29"/>
        <v>854181.81818181812</v>
      </c>
      <c r="H68" s="40">
        <f t="shared" si="30"/>
        <v>464073.18181818188</v>
      </c>
      <c r="I68" s="42">
        <f t="shared" si="31"/>
        <v>0.3520359731752824</v>
      </c>
      <c r="J68" s="43" t="s">
        <v>123</v>
      </c>
      <c r="K68" s="1"/>
    </row>
    <row r="69" spans="1:11" ht="13.5">
      <c r="A69" s="16" t="s">
        <v>101</v>
      </c>
      <c r="B69" s="17" t="s">
        <v>129</v>
      </c>
      <c r="C69" s="18">
        <v>20</v>
      </c>
      <c r="D69" s="18">
        <v>30000</v>
      </c>
      <c r="E69" s="44">
        <v>600000</v>
      </c>
      <c r="F69" s="45">
        <f>18700/1.1</f>
        <v>17000</v>
      </c>
      <c r="G69" s="45">
        <f t="shared" si="29"/>
        <v>340000</v>
      </c>
      <c r="H69" s="45">
        <f t="shared" si="30"/>
        <v>260000</v>
      </c>
      <c r="I69" s="47">
        <f t="shared" si="31"/>
        <v>0.43333333333333335</v>
      </c>
      <c r="J69" s="48" t="s">
        <v>123</v>
      </c>
      <c r="K69" s="1"/>
    </row>
    <row r="70" spans="1:11" ht="13.5">
      <c r="A70" s="150" t="s">
        <v>108</v>
      </c>
      <c r="B70" s="151"/>
      <c r="C70" s="22">
        <v>2180</v>
      </c>
      <c r="D70" s="22">
        <v>377973</v>
      </c>
      <c r="E70" s="22">
        <v>20966405</v>
      </c>
      <c r="F70" s="24"/>
      <c r="G70" s="24">
        <v>17186118.818181816</v>
      </c>
      <c r="H70" s="24">
        <f>E70-G70</f>
        <v>3780286.1818181835</v>
      </c>
      <c r="I70" s="25">
        <f t="shared" si="31"/>
        <v>0.18030206808550076</v>
      </c>
      <c r="J70" s="21" t="s">
        <v>130</v>
      </c>
      <c r="K70" s="1" t="s">
        <v>322</v>
      </c>
    </row>
    <row r="71" spans="1:11" ht="13.5">
      <c r="A71" s="26" t="s">
        <v>111</v>
      </c>
      <c r="B71" s="27" t="s">
        <v>1</v>
      </c>
      <c r="C71" s="28">
        <v>720</v>
      </c>
      <c r="D71" s="28">
        <v>4740</v>
      </c>
      <c r="E71" s="34">
        <v>3412800</v>
      </c>
      <c r="F71" s="49">
        <v>3870</v>
      </c>
      <c r="G71" s="35">
        <f t="shared" si="29"/>
        <v>2786400</v>
      </c>
      <c r="H71" s="35">
        <f t="shared" si="30"/>
        <v>626400</v>
      </c>
      <c r="I71" s="37">
        <f t="shared" si="31"/>
        <v>0.18354430379746836</v>
      </c>
      <c r="J71" s="38" t="s">
        <v>123</v>
      </c>
      <c r="K71" s="1"/>
    </row>
    <row r="72" spans="1:11" ht="13.5">
      <c r="A72" s="10" t="s">
        <v>111</v>
      </c>
      <c r="B72" s="11" t="s">
        <v>124</v>
      </c>
      <c r="C72" s="12">
        <v>180</v>
      </c>
      <c r="D72" s="12">
        <v>13448</v>
      </c>
      <c r="E72" s="39">
        <v>2420673</v>
      </c>
      <c r="F72" s="40">
        <f>11407/1.1</f>
        <v>10370</v>
      </c>
      <c r="G72" s="40">
        <f t="shared" si="29"/>
        <v>1866600</v>
      </c>
      <c r="H72" s="40">
        <f t="shared" si="30"/>
        <v>554073</v>
      </c>
      <c r="I72" s="42">
        <f t="shared" si="31"/>
        <v>0.22889213041166651</v>
      </c>
      <c r="J72" s="43" t="s">
        <v>123</v>
      </c>
      <c r="K72" s="1"/>
    </row>
    <row r="73" spans="1:11" ht="13.5">
      <c r="A73" s="10" t="s">
        <v>111</v>
      </c>
      <c r="B73" s="11" t="s">
        <v>102</v>
      </c>
      <c r="C73" s="12">
        <v>70</v>
      </c>
      <c r="D73" s="12">
        <v>19626</v>
      </c>
      <c r="E73" s="39">
        <v>1373845</v>
      </c>
      <c r="F73" s="40">
        <f>16710.1/1.1</f>
        <v>15190.999999999998</v>
      </c>
      <c r="G73" s="40">
        <f t="shared" si="29"/>
        <v>1063369.9999999998</v>
      </c>
      <c r="H73" s="40">
        <f t="shared" si="30"/>
        <v>310475.00000000023</v>
      </c>
      <c r="I73" s="42">
        <f t="shared" si="31"/>
        <v>0.22598983145842524</v>
      </c>
      <c r="J73" s="43" t="s">
        <v>123</v>
      </c>
      <c r="K73" s="1"/>
    </row>
    <row r="74" spans="1:11" ht="13.5">
      <c r="A74" s="10" t="s">
        <v>111</v>
      </c>
      <c r="B74" s="11" t="s">
        <v>103</v>
      </c>
      <c r="C74" s="12">
        <v>103</v>
      </c>
      <c r="D74" s="12">
        <v>24453</v>
      </c>
      <c r="E74" s="39">
        <v>2518631</v>
      </c>
      <c r="F74" s="40">
        <f>21965/1.1</f>
        <v>19968.181818181816</v>
      </c>
      <c r="G74" s="40">
        <f t="shared" si="29"/>
        <v>2056722.7272727271</v>
      </c>
      <c r="H74" s="40">
        <f t="shared" si="30"/>
        <v>461908.27272727294</v>
      </c>
      <c r="I74" s="42">
        <f t="shared" si="31"/>
        <v>0.1833965645333806</v>
      </c>
      <c r="J74" s="43" t="s">
        <v>123</v>
      </c>
      <c r="K74" s="1"/>
    </row>
    <row r="75" spans="1:11" ht="13.5">
      <c r="A75" s="10" t="s">
        <v>111</v>
      </c>
      <c r="B75" s="11" t="s">
        <v>125</v>
      </c>
      <c r="C75" s="12">
        <v>20</v>
      </c>
      <c r="D75" s="12">
        <v>36904</v>
      </c>
      <c r="E75" s="39">
        <v>738073</v>
      </c>
      <c r="F75" s="40">
        <f>32143.98/1.1</f>
        <v>29221.799999999996</v>
      </c>
      <c r="G75" s="40">
        <f t="shared" si="29"/>
        <v>584435.99999999988</v>
      </c>
      <c r="H75" s="40">
        <f t="shared" si="30"/>
        <v>153637.00000000012</v>
      </c>
      <c r="I75" s="42">
        <f t="shared" si="31"/>
        <v>0.20815962648681108</v>
      </c>
      <c r="J75" s="43" t="s">
        <v>123</v>
      </c>
      <c r="K75" s="1"/>
    </row>
    <row r="76" spans="1:11" ht="13.5">
      <c r="A76" s="10" t="s">
        <v>111</v>
      </c>
      <c r="B76" s="11" t="s">
        <v>126</v>
      </c>
      <c r="C76" s="12">
        <v>1000</v>
      </c>
      <c r="D76" s="12">
        <v>8112</v>
      </c>
      <c r="E76" s="39">
        <v>8111818</v>
      </c>
      <c r="F76" s="40">
        <v>6555</v>
      </c>
      <c r="G76" s="40">
        <f t="shared" si="29"/>
        <v>6555000</v>
      </c>
      <c r="H76" s="40">
        <f t="shared" si="30"/>
        <v>1556818</v>
      </c>
      <c r="I76" s="42">
        <f t="shared" si="31"/>
        <v>0.19191973981664776</v>
      </c>
      <c r="J76" s="43" t="s">
        <v>123</v>
      </c>
      <c r="K76" s="1"/>
    </row>
    <row r="77" spans="1:11" ht="13.5">
      <c r="A77" s="10" t="s">
        <v>111</v>
      </c>
      <c r="B77" s="11" t="s">
        <v>127</v>
      </c>
      <c r="C77" s="12">
        <v>30</v>
      </c>
      <c r="D77" s="12">
        <v>8355</v>
      </c>
      <c r="E77" s="39">
        <v>250636</v>
      </c>
      <c r="F77" s="50">
        <v>6835</v>
      </c>
      <c r="G77" s="40">
        <f t="shared" si="29"/>
        <v>205050</v>
      </c>
      <c r="H77" s="40">
        <f t="shared" si="30"/>
        <v>45586</v>
      </c>
      <c r="I77" s="42">
        <f t="shared" si="31"/>
        <v>0.1818812939880943</v>
      </c>
      <c r="J77" s="43" t="s">
        <v>123</v>
      </c>
      <c r="K77" s="1"/>
    </row>
    <row r="78" spans="1:11" ht="13.5">
      <c r="A78" s="16" t="s">
        <v>111</v>
      </c>
      <c r="B78" s="17" t="s">
        <v>128</v>
      </c>
      <c r="C78" s="18">
        <v>10</v>
      </c>
      <c r="D78" s="18">
        <v>65913</v>
      </c>
      <c r="E78" s="44">
        <v>659127</v>
      </c>
      <c r="F78" s="45">
        <f>46980/1.1</f>
        <v>42709.090909090904</v>
      </c>
      <c r="G78" s="45">
        <f t="shared" si="29"/>
        <v>427090.90909090906</v>
      </c>
      <c r="H78" s="45">
        <f t="shared" si="30"/>
        <v>232036.09090909094</v>
      </c>
      <c r="I78" s="47">
        <f t="shared" si="31"/>
        <v>0.35203548164328108</v>
      </c>
      <c r="J78" s="48" t="s">
        <v>123</v>
      </c>
      <c r="K78" s="1"/>
    </row>
    <row r="79" spans="1:11" ht="13.5">
      <c r="A79" s="150" t="s">
        <v>116</v>
      </c>
      <c r="B79" s="151"/>
      <c r="C79" s="22">
        <v>1843</v>
      </c>
      <c r="D79" s="22">
        <v>183214</v>
      </c>
      <c r="E79" s="22">
        <f>SUM(E71:E78)</f>
        <v>19485603</v>
      </c>
      <c r="F79" s="33"/>
      <c r="G79" s="24">
        <v>15544669.636363635</v>
      </c>
      <c r="H79" s="24">
        <f t="shared" si="30"/>
        <v>3940933.3636363652</v>
      </c>
      <c r="I79" s="25">
        <f t="shared" si="31"/>
        <v>0.20224846845316335</v>
      </c>
      <c r="J79" s="21" t="s">
        <v>130</v>
      </c>
      <c r="K79" s="1" t="s">
        <v>322</v>
      </c>
    </row>
    <row r="80" spans="1:11" ht="13.5">
      <c r="A80" s="26" t="s">
        <v>101</v>
      </c>
      <c r="B80" s="27" t="s">
        <v>105</v>
      </c>
      <c r="C80" s="28">
        <v>4</v>
      </c>
      <c r="D80" s="28">
        <v>37273</v>
      </c>
      <c r="E80" s="28">
        <v>149091</v>
      </c>
      <c r="F80" s="32">
        <v>16000</v>
      </c>
      <c r="G80" s="35">
        <f t="shared" ref="G80" si="32">C80*F80</f>
        <v>64000</v>
      </c>
      <c r="H80" s="35">
        <f t="shared" ref="H80" si="33">E80-G80</f>
        <v>85091</v>
      </c>
      <c r="I80" s="37">
        <f t="shared" ref="I80" si="34">H80/E80</f>
        <v>0.57073196906587254</v>
      </c>
      <c r="J80" s="27" t="s">
        <v>131</v>
      </c>
      <c r="K80" s="1"/>
    </row>
    <row r="81" spans="1:11" ht="13.5">
      <c r="A81" s="10" t="s">
        <v>101</v>
      </c>
      <c r="B81" s="11" t="s">
        <v>105</v>
      </c>
      <c r="C81" s="12">
        <v>4</v>
      </c>
      <c r="D81" s="12">
        <v>37273</v>
      </c>
      <c r="E81" s="12">
        <v>149091</v>
      </c>
      <c r="F81" s="6">
        <v>16000</v>
      </c>
      <c r="G81" s="40">
        <f t="shared" ref="G81:G91" si="35">C81*F81</f>
        <v>64000</v>
      </c>
      <c r="H81" s="40">
        <f t="shared" ref="H81:H92" si="36">E81-G81</f>
        <v>85091</v>
      </c>
      <c r="I81" s="42">
        <f t="shared" ref="I81:I92" si="37">H81/E81</f>
        <v>0.57073196906587254</v>
      </c>
      <c r="J81" s="11" t="s">
        <v>131</v>
      </c>
      <c r="K81" s="1"/>
    </row>
    <row r="82" spans="1:11" ht="13.5">
      <c r="A82" s="10" t="s">
        <v>101</v>
      </c>
      <c r="B82" s="11" t="s">
        <v>6</v>
      </c>
      <c r="C82" s="12">
        <v>42</v>
      </c>
      <c r="D82" s="12">
        <v>85909</v>
      </c>
      <c r="E82" s="12">
        <v>3608182</v>
      </c>
      <c r="F82" s="6">
        <v>55000</v>
      </c>
      <c r="G82" s="40">
        <f t="shared" si="35"/>
        <v>2310000</v>
      </c>
      <c r="H82" s="40">
        <f t="shared" si="36"/>
        <v>1298182</v>
      </c>
      <c r="I82" s="42">
        <f t="shared" si="37"/>
        <v>0.35978839204895985</v>
      </c>
      <c r="J82" s="11" t="s">
        <v>131</v>
      </c>
      <c r="K82" s="1"/>
    </row>
    <row r="83" spans="1:11" ht="13.5">
      <c r="A83" s="10" t="s">
        <v>101</v>
      </c>
      <c r="B83" s="11" t="s">
        <v>105</v>
      </c>
      <c r="C83" s="12">
        <v>8</v>
      </c>
      <c r="D83" s="12">
        <v>37273</v>
      </c>
      <c r="E83" s="12">
        <v>298182</v>
      </c>
      <c r="F83" s="6">
        <v>16000</v>
      </c>
      <c r="G83" s="40">
        <f t="shared" si="35"/>
        <v>128000</v>
      </c>
      <c r="H83" s="40">
        <f t="shared" si="36"/>
        <v>170182</v>
      </c>
      <c r="I83" s="42">
        <f t="shared" si="37"/>
        <v>0.57073196906587254</v>
      </c>
      <c r="J83" s="11" t="s">
        <v>131</v>
      </c>
      <c r="K83" s="1"/>
    </row>
    <row r="84" spans="1:11" ht="13.5">
      <c r="A84" s="10" t="s">
        <v>101</v>
      </c>
      <c r="B84" s="11" t="s">
        <v>23</v>
      </c>
      <c r="C84" s="12">
        <v>325</v>
      </c>
      <c r="D84" s="12">
        <v>7699</v>
      </c>
      <c r="E84" s="12">
        <v>2502205</v>
      </c>
      <c r="F84" s="6">
        <v>3000</v>
      </c>
      <c r="G84" s="40">
        <f t="shared" si="35"/>
        <v>975000</v>
      </c>
      <c r="H84" s="40">
        <f t="shared" si="36"/>
        <v>1527205</v>
      </c>
      <c r="I84" s="42">
        <f t="shared" si="37"/>
        <v>0.61034367687699453</v>
      </c>
      <c r="J84" s="11" t="s">
        <v>131</v>
      </c>
      <c r="K84" s="1"/>
    </row>
    <row r="85" spans="1:11" ht="13.5">
      <c r="A85" s="16" t="s">
        <v>101</v>
      </c>
      <c r="B85" s="17" t="s">
        <v>24</v>
      </c>
      <c r="C85" s="18">
        <v>240</v>
      </c>
      <c r="D85" s="18">
        <v>18091</v>
      </c>
      <c r="E85" s="18">
        <v>4341818</v>
      </c>
      <c r="F85" s="32">
        <v>14500</v>
      </c>
      <c r="G85" s="45">
        <f t="shared" si="35"/>
        <v>3480000</v>
      </c>
      <c r="H85" s="45">
        <f t="shared" si="36"/>
        <v>861818</v>
      </c>
      <c r="I85" s="47">
        <f t="shared" si="37"/>
        <v>0.19849242874758916</v>
      </c>
      <c r="J85" s="17" t="s">
        <v>131</v>
      </c>
      <c r="K85" s="1"/>
    </row>
    <row r="86" spans="1:11" ht="13.5">
      <c r="A86" s="150" t="s">
        <v>108</v>
      </c>
      <c r="B86" s="151"/>
      <c r="C86" s="22">
        <v>623</v>
      </c>
      <c r="D86" s="22">
        <v>223517</v>
      </c>
      <c r="E86" s="22">
        <v>11048569</v>
      </c>
      <c r="F86" s="33"/>
      <c r="G86" s="24">
        <v>7021000</v>
      </c>
      <c r="H86" s="24">
        <f t="shared" si="36"/>
        <v>4027569</v>
      </c>
      <c r="I86" s="25">
        <f t="shared" si="37"/>
        <v>0.36453309021285923</v>
      </c>
      <c r="J86" s="21" t="s">
        <v>132</v>
      </c>
      <c r="K86" s="1" t="s">
        <v>322</v>
      </c>
    </row>
    <row r="87" spans="1:11" ht="13.5">
      <c r="A87" s="26" t="s">
        <v>111</v>
      </c>
      <c r="B87" s="27" t="s">
        <v>105</v>
      </c>
      <c r="C87" s="28">
        <v>8</v>
      </c>
      <c r="D87" s="28">
        <v>37273</v>
      </c>
      <c r="E87" s="28">
        <v>298182</v>
      </c>
      <c r="F87" s="32">
        <v>16000</v>
      </c>
      <c r="G87" s="35">
        <f t="shared" si="35"/>
        <v>128000</v>
      </c>
      <c r="H87" s="35">
        <f t="shared" si="36"/>
        <v>170182</v>
      </c>
      <c r="I87" s="37">
        <f t="shared" si="37"/>
        <v>0.57073196906587254</v>
      </c>
      <c r="J87" s="27" t="s">
        <v>131</v>
      </c>
      <c r="K87" s="1"/>
    </row>
    <row r="88" spans="1:11" ht="13.5">
      <c r="A88" s="10" t="s">
        <v>111</v>
      </c>
      <c r="B88" s="11" t="s">
        <v>105</v>
      </c>
      <c r="C88" s="12">
        <v>8</v>
      </c>
      <c r="D88" s="12">
        <v>37273</v>
      </c>
      <c r="E88" s="12">
        <v>298182</v>
      </c>
      <c r="F88" s="6">
        <v>16000</v>
      </c>
      <c r="G88" s="40">
        <f t="shared" si="35"/>
        <v>128000</v>
      </c>
      <c r="H88" s="40">
        <f t="shared" si="36"/>
        <v>170182</v>
      </c>
      <c r="I88" s="42">
        <f t="shared" si="37"/>
        <v>0.57073196906587254</v>
      </c>
      <c r="J88" s="11" t="s">
        <v>131</v>
      </c>
      <c r="K88" s="1"/>
    </row>
    <row r="89" spans="1:11" ht="13.5">
      <c r="A89" s="10" t="s">
        <v>111</v>
      </c>
      <c r="B89" s="11" t="s">
        <v>105</v>
      </c>
      <c r="C89" s="12">
        <v>4</v>
      </c>
      <c r="D89" s="12">
        <v>37273</v>
      </c>
      <c r="E89" s="12">
        <v>149091</v>
      </c>
      <c r="F89" s="6">
        <v>16000</v>
      </c>
      <c r="G89" s="40">
        <f t="shared" si="35"/>
        <v>64000</v>
      </c>
      <c r="H89" s="40">
        <f t="shared" si="36"/>
        <v>85091</v>
      </c>
      <c r="I89" s="42">
        <f t="shared" si="37"/>
        <v>0.57073196906587254</v>
      </c>
      <c r="J89" s="11" t="s">
        <v>131</v>
      </c>
      <c r="K89" s="1"/>
    </row>
    <row r="90" spans="1:11" ht="13.5">
      <c r="A90" s="10" t="s">
        <v>111</v>
      </c>
      <c r="B90" s="11" t="s">
        <v>23</v>
      </c>
      <c r="C90" s="12">
        <v>375</v>
      </c>
      <c r="D90" s="12">
        <v>7699</v>
      </c>
      <c r="E90" s="12">
        <v>2887159</v>
      </c>
      <c r="F90" s="6">
        <v>3000</v>
      </c>
      <c r="G90" s="40">
        <f t="shared" si="35"/>
        <v>1125000</v>
      </c>
      <c r="H90" s="40">
        <f t="shared" si="36"/>
        <v>1762159</v>
      </c>
      <c r="I90" s="42">
        <f t="shared" si="37"/>
        <v>0.61034359382354764</v>
      </c>
      <c r="J90" s="11" t="s">
        <v>131</v>
      </c>
      <c r="K90" s="1"/>
    </row>
    <row r="91" spans="1:11" ht="13.5">
      <c r="A91" s="16" t="s">
        <v>111</v>
      </c>
      <c r="B91" s="17" t="s">
        <v>24</v>
      </c>
      <c r="C91" s="18">
        <v>240</v>
      </c>
      <c r="D91" s="18">
        <v>18091</v>
      </c>
      <c r="E91" s="18">
        <v>4341819</v>
      </c>
      <c r="F91" s="32">
        <v>14500</v>
      </c>
      <c r="G91" s="45">
        <f t="shared" si="35"/>
        <v>3480000</v>
      </c>
      <c r="H91" s="45">
        <f t="shared" si="36"/>
        <v>861819</v>
      </c>
      <c r="I91" s="47">
        <f t="shared" si="37"/>
        <v>0.1984926133493819</v>
      </c>
      <c r="J91" s="17" t="s">
        <v>131</v>
      </c>
      <c r="K91" s="1"/>
    </row>
    <row r="92" spans="1:11" ht="13.5">
      <c r="A92" s="150" t="s">
        <v>116</v>
      </c>
      <c r="B92" s="151"/>
      <c r="C92" s="22">
        <v>635</v>
      </c>
      <c r="D92" s="22">
        <v>137608</v>
      </c>
      <c r="E92" s="22">
        <v>7974433</v>
      </c>
      <c r="F92" s="24"/>
      <c r="G92" s="24">
        <f>SUM(G87:G91)</f>
        <v>4925000</v>
      </c>
      <c r="H92" s="24">
        <f t="shared" si="36"/>
        <v>3049433</v>
      </c>
      <c r="I92" s="25">
        <f t="shared" si="37"/>
        <v>0.38240123153583461</v>
      </c>
      <c r="J92" s="21" t="s">
        <v>132</v>
      </c>
      <c r="K92" s="1" t="s">
        <v>322</v>
      </c>
    </row>
    <row r="93" spans="1:11" ht="13.5">
      <c r="A93" s="51" t="s">
        <v>97</v>
      </c>
      <c r="B93" s="52" t="s">
        <v>1</v>
      </c>
      <c r="C93" s="53">
        <v>310</v>
      </c>
      <c r="D93" s="53">
        <v>37360</v>
      </c>
      <c r="E93" s="53">
        <v>1447700</v>
      </c>
      <c r="F93" s="32">
        <v>3860</v>
      </c>
      <c r="G93" s="32">
        <f>F93*C93</f>
        <v>1196600</v>
      </c>
      <c r="H93" s="32">
        <f>E93-G93</f>
        <v>251100</v>
      </c>
      <c r="I93" s="54">
        <f>H93/E93</f>
        <v>0.17344753747323341</v>
      </c>
      <c r="J93" s="52" t="s">
        <v>133</v>
      </c>
      <c r="K93" s="1"/>
    </row>
    <row r="94" spans="1:11" ht="13.5">
      <c r="A94" s="150" t="s">
        <v>108</v>
      </c>
      <c r="B94" s="151"/>
      <c r="C94" s="22">
        <v>310</v>
      </c>
      <c r="D94" s="22">
        <v>37360</v>
      </c>
      <c r="E94" s="22">
        <v>1447700</v>
      </c>
      <c r="F94" s="33"/>
      <c r="G94" s="33">
        <v>1196600</v>
      </c>
      <c r="H94" s="33">
        <f>E94-G94</f>
        <v>251100</v>
      </c>
      <c r="I94" s="55">
        <f>H94/E94</f>
        <v>0.17344753747323341</v>
      </c>
      <c r="J94" s="21" t="s">
        <v>134</v>
      </c>
      <c r="K94" s="1" t="s">
        <v>322</v>
      </c>
    </row>
    <row r="95" spans="1:11" ht="13.5">
      <c r="A95" s="51" t="s">
        <v>110</v>
      </c>
      <c r="B95" s="52" t="s">
        <v>1</v>
      </c>
      <c r="C95" s="53">
        <v>430</v>
      </c>
      <c r="D95" s="53">
        <v>32690</v>
      </c>
      <c r="E95" s="53">
        <v>2008100</v>
      </c>
      <c r="F95" s="32">
        <v>3860</v>
      </c>
      <c r="G95" s="32">
        <f>F95*C95</f>
        <v>1659800</v>
      </c>
      <c r="H95" s="32">
        <f>E95-G95</f>
        <v>348300</v>
      </c>
      <c r="I95" s="54">
        <f>H95/E95</f>
        <v>0.17344753747323341</v>
      </c>
      <c r="J95" s="52" t="s">
        <v>133</v>
      </c>
      <c r="K95" s="1"/>
    </row>
    <row r="96" spans="1:11" ht="13.5">
      <c r="A96" s="150" t="s">
        <v>116</v>
      </c>
      <c r="B96" s="151"/>
      <c r="C96" s="22">
        <v>430</v>
      </c>
      <c r="D96" s="22">
        <v>32690</v>
      </c>
      <c r="E96" s="22">
        <v>2008100</v>
      </c>
      <c r="F96" s="33"/>
      <c r="G96" s="33">
        <v>1659800</v>
      </c>
      <c r="H96" s="33">
        <f>E96-G96</f>
        <v>348300</v>
      </c>
      <c r="I96" s="55">
        <f>H96/E96</f>
        <v>0.17344753747323341</v>
      </c>
      <c r="J96" s="21" t="s">
        <v>134</v>
      </c>
      <c r="K96" s="1" t="s">
        <v>322</v>
      </c>
    </row>
    <row r="97" spans="1:11" ht="13.5">
      <c r="A97" s="26" t="s">
        <v>101</v>
      </c>
      <c r="B97" s="27" t="s">
        <v>135</v>
      </c>
      <c r="C97" s="28">
        <v>920</v>
      </c>
      <c r="D97" s="28">
        <v>7860</v>
      </c>
      <c r="E97" s="28">
        <v>7231200</v>
      </c>
      <c r="F97" s="32">
        <v>6227</v>
      </c>
      <c r="G97" s="29">
        <f t="shared" ref="G97" si="38">C97*F97</f>
        <v>5728840</v>
      </c>
      <c r="H97" s="29">
        <f t="shared" ref="H97" si="39">E97-G97</f>
        <v>1502360</v>
      </c>
      <c r="I97" s="30">
        <f t="shared" ref="I97" si="40">H97/E97</f>
        <v>0.20776081424936388</v>
      </c>
      <c r="J97" s="27" t="s">
        <v>136</v>
      </c>
      <c r="K97" s="1"/>
    </row>
    <row r="98" spans="1:11" ht="13.5">
      <c r="A98" s="10" t="s">
        <v>101</v>
      </c>
      <c r="B98" s="11" t="s">
        <v>127</v>
      </c>
      <c r="C98" s="12">
        <v>36</v>
      </c>
      <c r="D98" s="12">
        <v>8100</v>
      </c>
      <c r="E98" s="12">
        <v>291600</v>
      </c>
      <c r="F98" s="6">
        <v>6414</v>
      </c>
      <c r="G98" s="13">
        <f t="shared" ref="G98:G122" si="41">C98*F98</f>
        <v>230904</v>
      </c>
      <c r="H98" s="13">
        <f t="shared" ref="H98:H123" si="42">E98-G98</f>
        <v>60696</v>
      </c>
      <c r="I98" s="14">
        <f t="shared" ref="I98:I123" si="43">H98/E98</f>
        <v>0.20814814814814814</v>
      </c>
      <c r="J98" s="11" t="s">
        <v>136</v>
      </c>
      <c r="K98" s="1"/>
    </row>
    <row r="99" spans="1:11" ht="13.5">
      <c r="A99" s="16" t="s">
        <v>101</v>
      </c>
      <c r="B99" s="17" t="s">
        <v>1</v>
      </c>
      <c r="C99" s="18">
        <v>940</v>
      </c>
      <c r="D99" s="18">
        <v>4690</v>
      </c>
      <c r="E99" s="18">
        <v>4408600</v>
      </c>
      <c r="F99" s="32">
        <v>3860</v>
      </c>
      <c r="G99" s="19">
        <f t="shared" si="41"/>
        <v>3628400</v>
      </c>
      <c r="H99" s="19">
        <f t="shared" si="42"/>
        <v>780200</v>
      </c>
      <c r="I99" s="20">
        <f t="shared" si="43"/>
        <v>0.17697228144989338</v>
      </c>
      <c r="J99" s="17" t="s">
        <v>136</v>
      </c>
      <c r="K99" s="1"/>
    </row>
    <row r="100" spans="1:11" ht="13.5">
      <c r="A100" s="150" t="s">
        <v>108</v>
      </c>
      <c r="B100" s="151"/>
      <c r="C100" s="22">
        <v>1896</v>
      </c>
      <c r="D100" s="22">
        <v>20650</v>
      </c>
      <c r="E100" s="22">
        <v>11931400</v>
      </c>
      <c r="F100" s="33"/>
      <c r="G100" s="24">
        <v>9588144</v>
      </c>
      <c r="H100" s="24">
        <f t="shared" si="42"/>
        <v>2343256</v>
      </c>
      <c r="I100" s="25">
        <f t="shared" si="43"/>
        <v>0.19639405266775065</v>
      </c>
      <c r="J100" s="21" t="s">
        <v>137</v>
      </c>
      <c r="K100" s="1" t="s">
        <v>322</v>
      </c>
    </row>
    <row r="101" spans="1:11" ht="13.5">
      <c r="A101" s="26" t="s">
        <v>111</v>
      </c>
      <c r="B101" s="27" t="s">
        <v>135</v>
      </c>
      <c r="C101" s="28">
        <v>720</v>
      </c>
      <c r="D101" s="28">
        <v>7860</v>
      </c>
      <c r="E101" s="28">
        <v>5659200</v>
      </c>
      <c r="F101" s="32">
        <v>6227</v>
      </c>
      <c r="G101" s="29">
        <f t="shared" si="41"/>
        <v>4483440</v>
      </c>
      <c r="H101" s="29">
        <f t="shared" si="42"/>
        <v>1175760</v>
      </c>
      <c r="I101" s="30">
        <f t="shared" si="43"/>
        <v>0.20776081424936388</v>
      </c>
      <c r="J101" s="27" t="s">
        <v>136</v>
      </c>
      <c r="K101" s="1"/>
    </row>
    <row r="102" spans="1:11" ht="13.5">
      <c r="A102" s="10" t="s">
        <v>111</v>
      </c>
      <c r="B102" s="11" t="s">
        <v>127</v>
      </c>
      <c r="C102" s="12">
        <v>20</v>
      </c>
      <c r="D102" s="12">
        <v>8100</v>
      </c>
      <c r="E102" s="12">
        <v>162000</v>
      </c>
      <c r="F102" s="6">
        <v>6414</v>
      </c>
      <c r="G102" s="13">
        <f t="shared" si="41"/>
        <v>128280</v>
      </c>
      <c r="H102" s="13">
        <f t="shared" si="42"/>
        <v>33720</v>
      </c>
      <c r="I102" s="14">
        <f t="shared" si="43"/>
        <v>0.20814814814814814</v>
      </c>
      <c r="J102" s="11" t="s">
        <v>136</v>
      </c>
      <c r="K102" s="1"/>
    </row>
    <row r="103" spans="1:11" ht="13.5">
      <c r="A103" s="16" t="s">
        <v>111</v>
      </c>
      <c r="B103" s="17" t="s">
        <v>1</v>
      </c>
      <c r="C103" s="18">
        <v>730</v>
      </c>
      <c r="D103" s="18">
        <v>4690</v>
      </c>
      <c r="E103" s="18">
        <v>3423700</v>
      </c>
      <c r="F103" s="32">
        <v>3860</v>
      </c>
      <c r="G103" s="19">
        <f t="shared" si="41"/>
        <v>2817800</v>
      </c>
      <c r="H103" s="19">
        <f t="shared" si="42"/>
        <v>605900</v>
      </c>
      <c r="I103" s="20">
        <f t="shared" si="43"/>
        <v>0.17697228144989338</v>
      </c>
      <c r="J103" s="17" t="s">
        <v>136</v>
      </c>
      <c r="K103" s="1"/>
    </row>
    <row r="104" spans="1:11" ht="13.5">
      <c r="A104" s="150" t="s">
        <v>116</v>
      </c>
      <c r="B104" s="151"/>
      <c r="C104" s="22">
        <v>1470</v>
      </c>
      <c r="D104" s="22">
        <v>20650</v>
      </c>
      <c r="E104" s="22">
        <v>9244900</v>
      </c>
      <c r="F104" s="33"/>
      <c r="G104" s="24">
        <v>7429520</v>
      </c>
      <c r="H104" s="24">
        <f t="shared" si="42"/>
        <v>1815380</v>
      </c>
      <c r="I104" s="25">
        <f t="shared" si="43"/>
        <v>0.19636556371621111</v>
      </c>
      <c r="J104" s="21" t="s">
        <v>137</v>
      </c>
      <c r="K104" s="1" t="s">
        <v>322</v>
      </c>
    </row>
    <row r="105" spans="1:11" ht="13.5">
      <c r="A105" s="26" t="s">
        <v>101</v>
      </c>
      <c r="B105" s="27" t="s">
        <v>11</v>
      </c>
      <c r="C105" s="28">
        <v>300</v>
      </c>
      <c r="D105" s="28">
        <v>450</v>
      </c>
      <c r="E105" s="28">
        <v>135000</v>
      </c>
      <c r="F105" s="32">
        <v>435</v>
      </c>
      <c r="G105" s="29">
        <f t="shared" si="41"/>
        <v>130500</v>
      </c>
      <c r="H105" s="29">
        <f t="shared" si="42"/>
        <v>4500</v>
      </c>
      <c r="I105" s="30">
        <f t="shared" si="43"/>
        <v>3.3333333333333333E-2</v>
      </c>
      <c r="J105" s="27" t="s">
        <v>138</v>
      </c>
      <c r="K105" s="1"/>
    </row>
    <row r="106" spans="1:11" ht="13.5">
      <c r="A106" s="10" t="s">
        <v>101</v>
      </c>
      <c r="B106" s="11" t="s">
        <v>12</v>
      </c>
      <c r="C106" s="12">
        <v>750</v>
      </c>
      <c r="D106" s="12">
        <v>450</v>
      </c>
      <c r="E106" s="12">
        <v>337500</v>
      </c>
      <c r="F106" s="6">
        <v>435</v>
      </c>
      <c r="G106" s="13">
        <f t="shared" si="41"/>
        <v>326250</v>
      </c>
      <c r="H106" s="13">
        <f t="shared" si="42"/>
        <v>11250</v>
      </c>
      <c r="I106" s="14">
        <f t="shared" si="43"/>
        <v>3.3333333333333333E-2</v>
      </c>
      <c r="J106" s="11" t="s">
        <v>138</v>
      </c>
      <c r="K106" s="1"/>
    </row>
    <row r="107" spans="1:11" ht="13.5">
      <c r="A107" s="10" t="s">
        <v>101</v>
      </c>
      <c r="B107" s="11" t="s">
        <v>28</v>
      </c>
      <c r="C107" s="12">
        <v>61</v>
      </c>
      <c r="D107" s="12">
        <v>13600</v>
      </c>
      <c r="E107" s="12">
        <v>829600</v>
      </c>
      <c r="F107" s="6">
        <v>13000</v>
      </c>
      <c r="G107" s="13">
        <f t="shared" si="41"/>
        <v>793000</v>
      </c>
      <c r="H107" s="13">
        <f t="shared" si="42"/>
        <v>36600</v>
      </c>
      <c r="I107" s="14">
        <f t="shared" si="43"/>
        <v>4.4117647058823532E-2</v>
      </c>
      <c r="J107" s="11" t="s">
        <v>138</v>
      </c>
      <c r="K107" s="1"/>
    </row>
    <row r="108" spans="1:11" ht="13.5">
      <c r="A108" s="10" t="s">
        <v>101</v>
      </c>
      <c r="B108" s="11" t="s">
        <v>2</v>
      </c>
      <c r="C108" s="12">
        <v>359</v>
      </c>
      <c r="D108" s="12">
        <v>13600</v>
      </c>
      <c r="E108" s="12">
        <v>4882400</v>
      </c>
      <c r="F108" s="6">
        <v>13000</v>
      </c>
      <c r="G108" s="13">
        <f t="shared" si="41"/>
        <v>4667000</v>
      </c>
      <c r="H108" s="13">
        <f t="shared" si="42"/>
        <v>215400</v>
      </c>
      <c r="I108" s="14">
        <f t="shared" si="43"/>
        <v>4.4117647058823532E-2</v>
      </c>
      <c r="J108" s="11" t="s">
        <v>138</v>
      </c>
      <c r="K108" s="1"/>
    </row>
    <row r="109" spans="1:11" ht="13.5">
      <c r="A109" s="10" t="s">
        <v>101</v>
      </c>
      <c r="B109" s="11" t="s">
        <v>10</v>
      </c>
      <c r="C109" s="12">
        <v>396</v>
      </c>
      <c r="D109" s="12">
        <v>13600</v>
      </c>
      <c r="E109" s="12">
        <v>5385600</v>
      </c>
      <c r="F109" s="6">
        <v>13000</v>
      </c>
      <c r="G109" s="13">
        <f t="shared" si="41"/>
        <v>5148000</v>
      </c>
      <c r="H109" s="13">
        <f t="shared" si="42"/>
        <v>237600</v>
      </c>
      <c r="I109" s="14">
        <f t="shared" si="43"/>
        <v>4.4117647058823532E-2</v>
      </c>
      <c r="J109" s="11" t="s">
        <v>138</v>
      </c>
      <c r="K109" s="1"/>
    </row>
    <row r="110" spans="1:11" ht="13.5">
      <c r="A110" s="10" t="s">
        <v>101</v>
      </c>
      <c r="B110" s="11" t="s">
        <v>29</v>
      </c>
      <c r="C110" s="12">
        <v>837</v>
      </c>
      <c r="D110" s="12">
        <v>5400</v>
      </c>
      <c r="E110" s="12">
        <v>4519800</v>
      </c>
      <c r="F110" s="6">
        <v>5000</v>
      </c>
      <c r="G110" s="13">
        <f t="shared" si="41"/>
        <v>4185000</v>
      </c>
      <c r="H110" s="13">
        <f t="shared" si="42"/>
        <v>334800</v>
      </c>
      <c r="I110" s="14">
        <f t="shared" si="43"/>
        <v>7.407407407407407E-2</v>
      </c>
      <c r="J110" s="11" t="s">
        <v>138</v>
      </c>
      <c r="K110" s="1"/>
    </row>
    <row r="111" spans="1:11" ht="13.5">
      <c r="A111" s="10" t="s">
        <v>101</v>
      </c>
      <c r="B111" s="11" t="s">
        <v>13</v>
      </c>
      <c r="C111" s="12">
        <v>21</v>
      </c>
      <c r="D111" s="12">
        <v>17750</v>
      </c>
      <c r="E111" s="12">
        <v>372750</v>
      </c>
      <c r="F111" s="6">
        <v>15000</v>
      </c>
      <c r="G111" s="13">
        <f t="shared" si="41"/>
        <v>315000</v>
      </c>
      <c r="H111" s="13">
        <f t="shared" si="42"/>
        <v>57750</v>
      </c>
      <c r="I111" s="14">
        <f t="shared" si="43"/>
        <v>0.15492957746478872</v>
      </c>
      <c r="J111" s="11" t="s">
        <v>138</v>
      </c>
      <c r="K111" s="1"/>
    </row>
    <row r="112" spans="1:11" ht="13.5">
      <c r="A112" s="10" t="s">
        <v>101</v>
      </c>
      <c r="B112" s="11" t="s">
        <v>105</v>
      </c>
      <c r="C112" s="12">
        <v>35</v>
      </c>
      <c r="D112" s="12">
        <v>18000</v>
      </c>
      <c r="E112" s="12">
        <v>630000</v>
      </c>
      <c r="F112" s="6">
        <v>16000</v>
      </c>
      <c r="G112" s="13">
        <f t="shared" si="41"/>
        <v>560000</v>
      </c>
      <c r="H112" s="13">
        <f t="shared" si="42"/>
        <v>70000</v>
      </c>
      <c r="I112" s="14">
        <f t="shared" si="43"/>
        <v>0.1111111111111111</v>
      </c>
      <c r="J112" s="11" t="s">
        <v>138</v>
      </c>
      <c r="K112" s="1"/>
    </row>
    <row r="113" spans="1:11" ht="13.5">
      <c r="A113" s="16" t="s">
        <v>101</v>
      </c>
      <c r="B113" s="17" t="s">
        <v>6</v>
      </c>
      <c r="C113" s="18">
        <v>18</v>
      </c>
      <c r="D113" s="18">
        <v>50000</v>
      </c>
      <c r="E113" s="18">
        <v>900000</v>
      </c>
      <c r="F113" s="32">
        <v>55000</v>
      </c>
      <c r="G113" s="19">
        <f t="shared" si="41"/>
        <v>990000</v>
      </c>
      <c r="H113" s="19">
        <f t="shared" si="42"/>
        <v>-90000</v>
      </c>
      <c r="I113" s="20">
        <f t="shared" si="43"/>
        <v>-0.1</v>
      </c>
      <c r="J113" s="17" t="s">
        <v>138</v>
      </c>
      <c r="K113" s="1"/>
    </row>
    <row r="114" spans="1:11" ht="13.5">
      <c r="A114" s="150" t="s">
        <v>108</v>
      </c>
      <c r="B114" s="151"/>
      <c r="C114" s="22">
        <v>2777</v>
      </c>
      <c r="D114" s="22">
        <v>132850</v>
      </c>
      <c r="E114" s="22">
        <v>17992650</v>
      </c>
      <c r="F114" s="33"/>
      <c r="G114" s="24">
        <v>17114750</v>
      </c>
      <c r="H114" s="24">
        <f t="shared" si="42"/>
        <v>877900</v>
      </c>
      <c r="I114" s="25">
        <f t="shared" si="43"/>
        <v>4.8792145681708921E-2</v>
      </c>
      <c r="J114" s="21" t="s">
        <v>139</v>
      </c>
      <c r="K114" s="1" t="s">
        <v>322</v>
      </c>
    </row>
    <row r="115" spans="1:11" ht="13.5">
      <c r="A115" s="26" t="s">
        <v>111</v>
      </c>
      <c r="B115" s="27" t="s">
        <v>11</v>
      </c>
      <c r="C115" s="28">
        <v>300</v>
      </c>
      <c r="D115" s="28">
        <v>450</v>
      </c>
      <c r="E115" s="28">
        <v>135000</v>
      </c>
      <c r="F115" s="32">
        <v>435</v>
      </c>
      <c r="G115" s="29">
        <f t="shared" si="41"/>
        <v>130500</v>
      </c>
      <c r="H115" s="29">
        <f t="shared" si="42"/>
        <v>4500</v>
      </c>
      <c r="I115" s="30">
        <f t="shared" si="43"/>
        <v>3.3333333333333333E-2</v>
      </c>
      <c r="J115" s="27" t="s">
        <v>138</v>
      </c>
      <c r="K115" s="1"/>
    </row>
    <row r="116" spans="1:11" ht="13.5">
      <c r="A116" s="10" t="s">
        <v>111</v>
      </c>
      <c r="B116" s="11" t="s">
        <v>12</v>
      </c>
      <c r="C116" s="12">
        <v>900</v>
      </c>
      <c r="D116" s="12">
        <v>450</v>
      </c>
      <c r="E116" s="12">
        <v>405000</v>
      </c>
      <c r="F116" s="6">
        <v>435</v>
      </c>
      <c r="G116" s="13">
        <f t="shared" si="41"/>
        <v>391500</v>
      </c>
      <c r="H116" s="13">
        <f t="shared" si="42"/>
        <v>13500</v>
      </c>
      <c r="I116" s="14">
        <f t="shared" si="43"/>
        <v>3.3333333333333333E-2</v>
      </c>
      <c r="J116" s="11" t="s">
        <v>138</v>
      </c>
      <c r="K116" s="1"/>
    </row>
    <row r="117" spans="1:11" ht="13.5">
      <c r="A117" s="10" t="s">
        <v>111</v>
      </c>
      <c r="B117" s="11" t="s">
        <v>28</v>
      </c>
      <c r="C117" s="12">
        <v>56</v>
      </c>
      <c r="D117" s="12">
        <v>13600</v>
      </c>
      <c r="E117" s="12">
        <v>761600</v>
      </c>
      <c r="F117" s="6">
        <v>13000</v>
      </c>
      <c r="G117" s="13">
        <f t="shared" si="41"/>
        <v>728000</v>
      </c>
      <c r="H117" s="13">
        <f t="shared" si="42"/>
        <v>33600</v>
      </c>
      <c r="I117" s="14">
        <f t="shared" si="43"/>
        <v>4.4117647058823532E-2</v>
      </c>
      <c r="J117" s="11" t="s">
        <v>138</v>
      </c>
      <c r="K117" s="1"/>
    </row>
    <row r="118" spans="1:11" ht="13.5">
      <c r="A118" s="10" t="s">
        <v>111</v>
      </c>
      <c r="B118" s="11" t="s">
        <v>2</v>
      </c>
      <c r="C118" s="12">
        <v>314</v>
      </c>
      <c r="D118" s="12">
        <v>13600</v>
      </c>
      <c r="E118" s="12">
        <v>4270400</v>
      </c>
      <c r="F118" s="6">
        <v>13000</v>
      </c>
      <c r="G118" s="13">
        <f t="shared" si="41"/>
        <v>4082000</v>
      </c>
      <c r="H118" s="13">
        <f t="shared" si="42"/>
        <v>188400</v>
      </c>
      <c r="I118" s="14">
        <f t="shared" si="43"/>
        <v>4.4117647058823532E-2</v>
      </c>
      <c r="J118" s="11" t="s">
        <v>138</v>
      </c>
      <c r="K118" s="1"/>
    </row>
    <row r="119" spans="1:11" ht="13.5">
      <c r="A119" s="10" t="s">
        <v>111</v>
      </c>
      <c r="B119" s="11" t="s">
        <v>10</v>
      </c>
      <c r="C119" s="12">
        <v>350</v>
      </c>
      <c r="D119" s="12">
        <v>13600</v>
      </c>
      <c r="E119" s="12">
        <v>4760000</v>
      </c>
      <c r="F119" s="6">
        <v>13000</v>
      </c>
      <c r="G119" s="13">
        <f t="shared" si="41"/>
        <v>4550000</v>
      </c>
      <c r="H119" s="13">
        <f t="shared" si="42"/>
        <v>210000</v>
      </c>
      <c r="I119" s="14">
        <f t="shared" si="43"/>
        <v>4.4117647058823532E-2</v>
      </c>
      <c r="J119" s="11" t="s">
        <v>138</v>
      </c>
      <c r="K119" s="1"/>
    </row>
    <row r="120" spans="1:11" ht="13.5">
      <c r="A120" s="10" t="s">
        <v>111</v>
      </c>
      <c r="B120" s="11" t="s">
        <v>29</v>
      </c>
      <c r="C120" s="12">
        <v>743</v>
      </c>
      <c r="D120" s="12">
        <v>5400</v>
      </c>
      <c r="E120" s="12">
        <v>4012200</v>
      </c>
      <c r="F120" s="6">
        <v>5000</v>
      </c>
      <c r="G120" s="13">
        <f t="shared" si="41"/>
        <v>3715000</v>
      </c>
      <c r="H120" s="13">
        <f t="shared" si="42"/>
        <v>297200</v>
      </c>
      <c r="I120" s="14">
        <f t="shared" si="43"/>
        <v>7.407407407407407E-2</v>
      </c>
      <c r="J120" s="11" t="s">
        <v>138</v>
      </c>
      <c r="K120" s="1"/>
    </row>
    <row r="121" spans="1:11" ht="13.5">
      <c r="A121" s="10" t="s">
        <v>111</v>
      </c>
      <c r="B121" s="11" t="s">
        <v>13</v>
      </c>
      <c r="C121" s="12">
        <v>22</v>
      </c>
      <c r="D121" s="12">
        <v>17750</v>
      </c>
      <c r="E121" s="12">
        <v>390500</v>
      </c>
      <c r="F121" s="6">
        <v>15000</v>
      </c>
      <c r="G121" s="13">
        <f t="shared" si="41"/>
        <v>330000</v>
      </c>
      <c r="H121" s="13">
        <f t="shared" si="42"/>
        <v>60500</v>
      </c>
      <c r="I121" s="14">
        <f t="shared" si="43"/>
        <v>0.15492957746478872</v>
      </c>
      <c r="J121" s="11" t="s">
        <v>138</v>
      </c>
      <c r="K121" s="1"/>
    </row>
    <row r="122" spans="1:11" ht="13.5">
      <c r="A122" s="16" t="s">
        <v>111</v>
      </c>
      <c r="B122" s="17" t="s">
        <v>105</v>
      </c>
      <c r="C122" s="18">
        <v>9</v>
      </c>
      <c r="D122" s="18">
        <v>18000</v>
      </c>
      <c r="E122" s="18">
        <v>162000</v>
      </c>
      <c r="F122" s="32">
        <v>16000</v>
      </c>
      <c r="G122" s="19">
        <f t="shared" si="41"/>
        <v>144000</v>
      </c>
      <c r="H122" s="19">
        <f t="shared" si="42"/>
        <v>18000</v>
      </c>
      <c r="I122" s="20">
        <f t="shared" si="43"/>
        <v>0.1111111111111111</v>
      </c>
      <c r="J122" s="17" t="s">
        <v>138</v>
      </c>
      <c r="K122" s="1"/>
    </row>
    <row r="123" spans="1:11" ht="13.5">
      <c r="A123" s="150" t="s">
        <v>116</v>
      </c>
      <c r="B123" s="151"/>
      <c r="C123" s="22">
        <v>2694</v>
      </c>
      <c r="D123" s="22">
        <v>82850</v>
      </c>
      <c r="E123" s="22">
        <v>14896700</v>
      </c>
      <c r="F123" s="33"/>
      <c r="G123" s="24">
        <f>SUM(G115:G122)</f>
        <v>14071000</v>
      </c>
      <c r="H123" s="24">
        <f t="shared" si="42"/>
        <v>825700</v>
      </c>
      <c r="I123" s="25">
        <f t="shared" si="43"/>
        <v>5.5428383467479372E-2</v>
      </c>
      <c r="J123" s="21" t="s">
        <v>139</v>
      </c>
      <c r="K123" s="1" t="s">
        <v>322</v>
      </c>
    </row>
    <row r="124" spans="1:11" ht="13.5">
      <c r="A124" s="150" t="s">
        <v>108</v>
      </c>
      <c r="B124" s="151"/>
      <c r="C124" s="22"/>
      <c r="D124" s="22"/>
      <c r="E124" s="22">
        <v>1899653</v>
      </c>
      <c r="F124" s="33"/>
      <c r="G124" s="33">
        <f>1913426/1.1</f>
        <v>1739478.1818181816</v>
      </c>
      <c r="H124" s="33">
        <f>E124-G124</f>
        <v>160174.81818181835</v>
      </c>
      <c r="I124" s="56">
        <f>H124/G124</f>
        <v>9.2082108218452238E-2</v>
      </c>
      <c r="J124" s="57" t="s">
        <v>140</v>
      </c>
      <c r="K124" s="1" t="s">
        <v>324</v>
      </c>
    </row>
    <row r="125" spans="1:11" ht="13.5">
      <c r="A125" s="150" t="s">
        <v>116</v>
      </c>
      <c r="B125" s="151"/>
      <c r="C125" s="22"/>
      <c r="D125" s="22"/>
      <c r="E125" s="22">
        <v>2901527</v>
      </c>
      <c r="F125" s="33"/>
      <c r="G125" s="33">
        <f>2981358/1.1</f>
        <v>2710325.4545454541</v>
      </c>
      <c r="H125" s="33">
        <f>E125-G125</f>
        <v>191201.54545454588</v>
      </c>
      <c r="I125" s="56">
        <f>H125/G125</f>
        <v>7.054560371481737E-2</v>
      </c>
      <c r="J125" s="57" t="s">
        <v>140</v>
      </c>
      <c r="K125" s="1" t="s">
        <v>324</v>
      </c>
    </row>
    <row r="126" spans="1:11" ht="13.5">
      <c r="A126" s="51" t="s">
        <v>97</v>
      </c>
      <c r="B126" s="52" t="s">
        <v>4</v>
      </c>
      <c r="C126" s="53">
        <v>240</v>
      </c>
      <c r="D126" s="53">
        <v>74473</v>
      </c>
      <c r="E126" s="53">
        <v>4468364</v>
      </c>
      <c r="F126" s="58">
        <v>11400</v>
      </c>
      <c r="G126" s="58">
        <f t="shared" ref="G126" si="44">C126*F126</f>
        <v>2736000</v>
      </c>
      <c r="H126" s="58">
        <f t="shared" ref="H126" si="45">E126-G126</f>
        <v>1732364</v>
      </c>
      <c r="I126" s="59">
        <f t="shared" ref="I126" si="46">H126/E126</f>
        <v>0.38769536232947899</v>
      </c>
      <c r="J126" s="52" t="s">
        <v>141</v>
      </c>
      <c r="K126" s="1"/>
    </row>
    <row r="127" spans="1:11" ht="13.5">
      <c r="A127" s="150" t="s">
        <v>108</v>
      </c>
      <c r="B127" s="151"/>
      <c r="C127" s="22">
        <v>240</v>
      </c>
      <c r="D127" s="22">
        <v>74473</v>
      </c>
      <c r="E127" s="22">
        <v>4468364</v>
      </c>
      <c r="F127" s="24"/>
      <c r="G127" s="24">
        <v>2736000</v>
      </c>
      <c r="H127" s="24">
        <f t="shared" ref="H127:H143" si="47">E127-G127</f>
        <v>1732364</v>
      </c>
      <c r="I127" s="25">
        <f t="shared" ref="I127:I143" si="48">H127/E127</f>
        <v>0.38769536232947899</v>
      </c>
      <c r="J127" s="21" t="s">
        <v>142</v>
      </c>
      <c r="K127" s="1" t="s">
        <v>322</v>
      </c>
    </row>
    <row r="128" spans="1:11" ht="13.5">
      <c r="A128" s="51" t="s">
        <v>110</v>
      </c>
      <c r="B128" s="52" t="s">
        <v>4</v>
      </c>
      <c r="C128" s="53">
        <v>180</v>
      </c>
      <c r="D128" s="53">
        <v>55855</v>
      </c>
      <c r="E128" s="53">
        <v>3351273</v>
      </c>
      <c r="F128" s="58">
        <v>11400</v>
      </c>
      <c r="G128" s="58">
        <f t="shared" ref="G128:G142" si="49">C128*F128</f>
        <v>2052000</v>
      </c>
      <c r="H128" s="58">
        <f t="shared" si="47"/>
        <v>1299273</v>
      </c>
      <c r="I128" s="59">
        <f t="shared" si="48"/>
        <v>0.38769536232947899</v>
      </c>
      <c r="J128" s="52" t="s">
        <v>141</v>
      </c>
      <c r="K128" s="1"/>
    </row>
    <row r="129" spans="1:11" ht="13.5">
      <c r="A129" s="150" t="s">
        <v>116</v>
      </c>
      <c r="B129" s="151"/>
      <c r="C129" s="22">
        <v>180</v>
      </c>
      <c r="D129" s="22">
        <v>55855</v>
      </c>
      <c r="E129" s="22">
        <v>3351273</v>
      </c>
      <c r="F129" s="24"/>
      <c r="G129" s="24">
        <v>2052000</v>
      </c>
      <c r="H129" s="24">
        <f t="shared" si="47"/>
        <v>1299273</v>
      </c>
      <c r="I129" s="25">
        <f t="shared" si="48"/>
        <v>0.38769536232947899</v>
      </c>
      <c r="J129" s="21" t="s">
        <v>142</v>
      </c>
      <c r="K129" s="1" t="s">
        <v>322</v>
      </c>
    </row>
    <row r="130" spans="1:11" ht="13.5">
      <c r="A130" s="26" t="s">
        <v>97</v>
      </c>
      <c r="B130" s="27" t="s">
        <v>5</v>
      </c>
      <c r="C130" s="28">
        <v>100</v>
      </c>
      <c r="D130" s="28">
        <v>15800</v>
      </c>
      <c r="E130" s="28">
        <v>1580000</v>
      </c>
      <c r="F130" s="32">
        <v>10850</v>
      </c>
      <c r="G130" s="29">
        <f t="shared" si="49"/>
        <v>1085000</v>
      </c>
      <c r="H130" s="29">
        <f t="shared" si="47"/>
        <v>495000</v>
      </c>
      <c r="I130" s="30">
        <f t="shared" si="48"/>
        <v>0.31329113924050633</v>
      </c>
      <c r="J130" s="27" t="s">
        <v>143</v>
      </c>
      <c r="K130" s="1"/>
    </row>
    <row r="131" spans="1:11" ht="13.5">
      <c r="A131" s="16" t="s">
        <v>97</v>
      </c>
      <c r="B131" s="17" t="s">
        <v>4</v>
      </c>
      <c r="C131" s="18">
        <v>60</v>
      </c>
      <c r="D131" s="18">
        <v>15800</v>
      </c>
      <c r="E131" s="18">
        <v>948000</v>
      </c>
      <c r="F131" s="32">
        <v>10850</v>
      </c>
      <c r="G131" s="19">
        <f t="shared" si="49"/>
        <v>651000</v>
      </c>
      <c r="H131" s="19">
        <f t="shared" si="47"/>
        <v>297000</v>
      </c>
      <c r="I131" s="20">
        <f t="shared" si="48"/>
        <v>0.31329113924050633</v>
      </c>
      <c r="J131" s="17" t="s">
        <v>143</v>
      </c>
      <c r="K131" s="1"/>
    </row>
    <row r="132" spans="1:11" ht="13.5">
      <c r="A132" s="150" t="s">
        <v>108</v>
      </c>
      <c r="B132" s="151"/>
      <c r="C132" s="22">
        <v>160</v>
      </c>
      <c r="D132" s="22">
        <v>31600</v>
      </c>
      <c r="E132" s="22">
        <v>2528000</v>
      </c>
      <c r="F132" s="33"/>
      <c r="G132" s="24">
        <v>1736000</v>
      </c>
      <c r="H132" s="24">
        <f t="shared" si="47"/>
        <v>792000</v>
      </c>
      <c r="I132" s="25">
        <f t="shared" si="48"/>
        <v>0.31329113924050633</v>
      </c>
      <c r="J132" s="21" t="s">
        <v>144</v>
      </c>
      <c r="K132" s="1" t="s">
        <v>322</v>
      </c>
    </row>
    <row r="133" spans="1:11" ht="13.5">
      <c r="A133" s="26" t="s">
        <v>110</v>
      </c>
      <c r="B133" s="27" t="s">
        <v>5</v>
      </c>
      <c r="C133" s="28">
        <v>80</v>
      </c>
      <c r="D133" s="28">
        <v>15800</v>
      </c>
      <c r="E133" s="28">
        <v>1264000</v>
      </c>
      <c r="F133" s="32">
        <v>10850</v>
      </c>
      <c r="G133" s="29">
        <f t="shared" si="49"/>
        <v>868000</v>
      </c>
      <c r="H133" s="29">
        <f t="shared" si="47"/>
        <v>396000</v>
      </c>
      <c r="I133" s="30">
        <f t="shared" si="48"/>
        <v>0.31329113924050633</v>
      </c>
      <c r="J133" s="27" t="s">
        <v>143</v>
      </c>
      <c r="K133" s="1"/>
    </row>
    <row r="134" spans="1:11" ht="13.5">
      <c r="A134" s="16" t="s">
        <v>110</v>
      </c>
      <c r="B134" s="17" t="s">
        <v>4</v>
      </c>
      <c r="C134" s="18">
        <v>120</v>
      </c>
      <c r="D134" s="18">
        <v>15800</v>
      </c>
      <c r="E134" s="18">
        <v>1896000</v>
      </c>
      <c r="F134" s="32">
        <v>10850</v>
      </c>
      <c r="G134" s="19">
        <f t="shared" si="49"/>
        <v>1302000</v>
      </c>
      <c r="H134" s="19">
        <f t="shared" si="47"/>
        <v>594000</v>
      </c>
      <c r="I134" s="20">
        <f t="shared" si="48"/>
        <v>0.31329113924050633</v>
      </c>
      <c r="J134" s="17" t="s">
        <v>143</v>
      </c>
      <c r="K134" s="1"/>
    </row>
    <row r="135" spans="1:11" ht="13.5">
      <c r="A135" s="150" t="s">
        <v>116</v>
      </c>
      <c r="B135" s="151"/>
      <c r="C135" s="22">
        <v>200</v>
      </c>
      <c r="D135" s="22">
        <v>31600</v>
      </c>
      <c r="E135" s="22">
        <v>3160000</v>
      </c>
      <c r="F135" s="33"/>
      <c r="G135" s="24">
        <v>2170000</v>
      </c>
      <c r="H135" s="24">
        <f t="shared" si="47"/>
        <v>990000</v>
      </c>
      <c r="I135" s="25">
        <f t="shared" si="48"/>
        <v>0.31329113924050633</v>
      </c>
      <c r="J135" s="21" t="s">
        <v>144</v>
      </c>
      <c r="K135" s="1" t="s">
        <v>322</v>
      </c>
    </row>
    <row r="136" spans="1:11" ht="13.5">
      <c r="A136" s="51" t="s">
        <v>97</v>
      </c>
      <c r="B136" s="52" t="s">
        <v>5</v>
      </c>
      <c r="C136" s="53">
        <v>180</v>
      </c>
      <c r="D136" s="53">
        <v>15500</v>
      </c>
      <c r="E136" s="53">
        <v>2790000</v>
      </c>
      <c r="F136" s="32">
        <v>11900</v>
      </c>
      <c r="G136" s="58">
        <f t="shared" si="49"/>
        <v>2142000</v>
      </c>
      <c r="H136" s="58">
        <f t="shared" si="47"/>
        <v>648000</v>
      </c>
      <c r="I136" s="59">
        <f t="shared" si="48"/>
        <v>0.23225806451612904</v>
      </c>
      <c r="J136" s="52" t="s">
        <v>145</v>
      </c>
      <c r="K136" s="1"/>
    </row>
    <row r="137" spans="1:11" ht="13.5">
      <c r="A137" s="150" t="s">
        <v>108</v>
      </c>
      <c r="B137" s="151"/>
      <c r="C137" s="22">
        <v>180</v>
      </c>
      <c r="D137" s="22">
        <v>15500</v>
      </c>
      <c r="E137" s="22">
        <v>2790000</v>
      </c>
      <c r="F137" s="33"/>
      <c r="G137" s="24">
        <v>2142000</v>
      </c>
      <c r="H137" s="24">
        <f t="shared" si="47"/>
        <v>648000</v>
      </c>
      <c r="I137" s="25">
        <f t="shared" si="48"/>
        <v>0.23225806451612904</v>
      </c>
      <c r="J137" s="21" t="s">
        <v>146</v>
      </c>
      <c r="K137" s="1" t="s">
        <v>322</v>
      </c>
    </row>
    <row r="138" spans="1:11" ht="13.5">
      <c r="A138" s="51" t="s">
        <v>110</v>
      </c>
      <c r="B138" s="52" t="s">
        <v>5</v>
      </c>
      <c r="C138" s="53">
        <v>180</v>
      </c>
      <c r="D138" s="53">
        <v>15500</v>
      </c>
      <c r="E138" s="53">
        <v>2790000</v>
      </c>
      <c r="F138" s="32">
        <v>11900</v>
      </c>
      <c r="G138" s="58">
        <f t="shared" si="49"/>
        <v>2142000</v>
      </c>
      <c r="H138" s="58">
        <f t="shared" si="47"/>
        <v>648000</v>
      </c>
      <c r="I138" s="59">
        <f t="shared" si="48"/>
        <v>0.23225806451612904</v>
      </c>
      <c r="J138" s="52" t="s">
        <v>145</v>
      </c>
      <c r="K138" s="1"/>
    </row>
    <row r="139" spans="1:11" ht="13.5">
      <c r="A139" s="150" t="s">
        <v>116</v>
      </c>
      <c r="B139" s="151"/>
      <c r="C139" s="22">
        <v>180</v>
      </c>
      <c r="D139" s="22">
        <v>15500</v>
      </c>
      <c r="E139" s="22">
        <v>2790000</v>
      </c>
      <c r="F139" s="33"/>
      <c r="G139" s="24">
        <v>2142000</v>
      </c>
      <c r="H139" s="24">
        <f t="shared" si="47"/>
        <v>648000</v>
      </c>
      <c r="I139" s="25">
        <f t="shared" si="48"/>
        <v>0.23225806451612904</v>
      </c>
      <c r="J139" s="21" t="s">
        <v>146</v>
      </c>
      <c r="K139" s="1" t="s">
        <v>322</v>
      </c>
    </row>
    <row r="140" spans="1:11" ht="11.25" customHeight="1">
      <c r="A140" s="26" t="s">
        <v>97</v>
      </c>
      <c r="B140" s="27" t="s">
        <v>34</v>
      </c>
      <c r="C140" s="28">
        <v>60</v>
      </c>
      <c r="D140" s="28">
        <v>14400</v>
      </c>
      <c r="E140" s="28">
        <v>864000</v>
      </c>
      <c r="F140" s="32">
        <v>11000</v>
      </c>
      <c r="G140" s="29">
        <f t="shared" si="49"/>
        <v>660000</v>
      </c>
      <c r="H140" s="29">
        <f t="shared" si="47"/>
        <v>204000</v>
      </c>
      <c r="I140" s="30">
        <f t="shared" si="48"/>
        <v>0.2361111111111111</v>
      </c>
      <c r="J140" s="27" t="s">
        <v>147</v>
      </c>
      <c r="K140" s="1"/>
    </row>
    <row r="141" spans="1:11" ht="11.25" customHeight="1">
      <c r="A141" s="60" t="s">
        <v>97</v>
      </c>
      <c r="B141" s="11" t="s">
        <v>35</v>
      </c>
      <c r="C141" s="12">
        <v>21</v>
      </c>
      <c r="D141" s="12">
        <v>16000</v>
      </c>
      <c r="E141" s="12">
        <v>336000</v>
      </c>
      <c r="F141" s="6">
        <v>10500</v>
      </c>
      <c r="G141" s="13">
        <f t="shared" si="49"/>
        <v>220500</v>
      </c>
      <c r="H141" s="13">
        <f t="shared" si="47"/>
        <v>115500</v>
      </c>
      <c r="I141" s="14">
        <f t="shared" si="48"/>
        <v>0.34375</v>
      </c>
      <c r="J141" s="11" t="s">
        <v>147</v>
      </c>
      <c r="K141" s="1"/>
    </row>
    <row r="142" spans="1:11" ht="11.25" customHeight="1">
      <c r="A142" s="16" t="s">
        <v>97</v>
      </c>
      <c r="B142" s="17" t="s">
        <v>36</v>
      </c>
      <c r="C142" s="18">
        <v>24</v>
      </c>
      <c r="D142" s="18">
        <v>55000</v>
      </c>
      <c r="E142" s="18">
        <v>1320000</v>
      </c>
      <c r="F142" s="32">
        <v>50000</v>
      </c>
      <c r="G142" s="19">
        <f t="shared" si="49"/>
        <v>1200000</v>
      </c>
      <c r="H142" s="19">
        <f t="shared" si="47"/>
        <v>120000</v>
      </c>
      <c r="I142" s="20">
        <f t="shared" si="48"/>
        <v>9.0909090909090912E-2</v>
      </c>
      <c r="J142" s="17" t="s">
        <v>147</v>
      </c>
      <c r="K142" s="1"/>
    </row>
    <row r="143" spans="1:11" ht="13.5">
      <c r="A143" s="150" t="s">
        <v>108</v>
      </c>
      <c r="B143" s="151"/>
      <c r="C143" s="22">
        <v>105</v>
      </c>
      <c r="D143" s="22">
        <v>85400</v>
      </c>
      <c r="E143" s="22">
        <v>2520000</v>
      </c>
      <c r="F143" s="33"/>
      <c r="G143" s="24">
        <v>2080500</v>
      </c>
      <c r="H143" s="24">
        <f t="shared" si="47"/>
        <v>439500</v>
      </c>
      <c r="I143" s="25">
        <f t="shared" si="48"/>
        <v>0.1744047619047619</v>
      </c>
      <c r="J143" s="21" t="s">
        <v>148</v>
      </c>
      <c r="K143" s="1" t="s">
        <v>322</v>
      </c>
    </row>
    <row r="144" spans="1:11" ht="11.25" customHeight="1">
      <c r="A144" s="26" t="s">
        <v>110</v>
      </c>
      <c r="B144" s="27" t="s">
        <v>34</v>
      </c>
      <c r="C144" s="28">
        <v>44</v>
      </c>
      <c r="D144" s="28">
        <v>14400</v>
      </c>
      <c r="E144" s="28">
        <v>633600</v>
      </c>
      <c r="F144" s="32">
        <v>11000</v>
      </c>
      <c r="G144" s="29">
        <f t="shared" ref="G144:G147" si="50">C144*F144</f>
        <v>484000</v>
      </c>
      <c r="H144" s="29">
        <f t="shared" ref="H144:H147" si="51">E144-G144</f>
        <v>149600</v>
      </c>
      <c r="I144" s="30">
        <f t="shared" ref="I144:I147" si="52">H144/E144</f>
        <v>0.2361111111111111</v>
      </c>
      <c r="J144" s="27" t="s">
        <v>147</v>
      </c>
      <c r="K144" s="1"/>
    </row>
    <row r="145" spans="1:11" ht="11.25" customHeight="1">
      <c r="A145" s="16" t="s">
        <v>110</v>
      </c>
      <c r="B145" s="17" t="s">
        <v>35</v>
      </c>
      <c r="C145" s="18">
        <v>64</v>
      </c>
      <c r="D145" s="18">
        <v>16000</v>
      </c>
      <c r="E145" s="18">
        <v>1024000</v>
      </c>
      <c r="F145" s="32">
        <v>10500</v>
      </c>
      <c r="G145" s="19">
        <f t="shared" si="50"/>
        <v>672000</v>
      </c>
      <c r="H145" s="19">
        <f t="shared" si="51"/>
        <v>352000</v>
      </c>
      <c r="I145" s="20">
        <f t="shared" si="52"/>
        <v>0.34375</v>
      </c>
      <c r="J145" s="17" t="s">
        <v>147</v>
      </c>
      <c r="K145" s="1"/>
    </row>
    <row r="146" spans="1:11" ht="13.5">
      <c r="A146" s="150" t="s">
        <v>116</v>
      </c>
      <c r="B146" s="151"/>
      <c r="C146" s="22">
        <v>108</v>
      </c>
      <c r="D146" s="22">
        <v>30400</v>
      </c>
      <c r="E146" s="22">
        <v>1657600</v>
      </c>
      <c r="F146" s="33"/>
      <c r="G146" s="24">
        <v>1156000</v>
      </c>
      <c r="H146" s="24">
        <f t="shared" si="51"/>
        <v>501600</v>
      </c>
      <c r="I146" s="25">
        <f t="shared" si="52"/>
        <v>0.30260617760617758</v>
      </c>
      <c r="J146" s="21" t="s">
        <v>148</v>
      </c>
      <c r="K146" s="1" t="s">
        <v>322</v>
      </c>
    </row>
    <row r="147" spans="1:11" ht="13.5">
      <c r="A147" s="61" t="s">
        <v>97</v>
      </c>
      <c r="B147" s="62" t="s">
        <v>149</v>
      </c>
      <c r="C147" s="36">
        <v>1000</v>
      </c>
      <c r="D147" s="36">
        <v>11023</v>
      </c>
      <c r="E147" s="36">
        <v>11022727</v>
      </c>
      <c r="F147" s="49">
        <v>8928</v>
      </c>
      <c r="G147" s="29">
        <f t="shared" si="50"/>
        <v>8928000</v>
      </c>
      <c r="H147" s="29">
        <f t="shared" si="51"/>
        <v>2094727</v>
      </c>
      <c r="I147" s="30">
        <f t="shared" si="52"/>
        <v>0.19003709336174252</v>
      </c>
      <c r="J147" s="62" t="s">
        <v>150</v>
      </c>
      <c r="K147" s="1"/>
    </row>
    <row r="148" spans="1:11" ht="13.5">
      <c r="A148" s="63" t="s">
        <v>97</v>
      </c>
      <c r="B148" s="64" t="s">
        <v>151</v>
      </c>
      <c r="C148" s="41">
        <v>30</v>
      </c>
      <c r="D148" s="41">
        <v>40696</v>
      </c>
      <c r="E148" s="41">
        <v>1220891</v>
      </c>
      <c r="F148" s="50">
        <v>20755</v>
      </c>
      <c r="G148" s="13">
        <f t="shared" ref="G148:G153" si="53">C148*F148</f>
        <v>622650</v>
      </c>
      <c r="H148" s="13">
        <f t="shared" ref="H148:H154" si="54">E148-G148</f>
        <v>598241</v>
      </c>
      <c r="I148" s="14">
        <f t="shared" ref="I148:I154" si="55">H148/E148</f>
        <v>0.49000361211606935</v>
      </c>
      <c r="J148" s="64" t="s">
        <v>150</v>
      </c>
      <c r="K148" s="1"/>
    </row>
    <row r="149" spans="1:11" ht="13.5">
      <c r="A149" s="63" t="s">
        <v>101</v>
      </c>
      <c r="B149" s="64" t="s">
        <v>152</v>
      </c>
      <c r="C149" s="41">
        <v>68</v>
      </c>
      <c r="D149" s="41">
        <v>65329</v>
      </c>
      <c r="E149" s="41">
        <v>4442378</v>
      </c>
      <c r="F149" s="50">
        <v>33318</v>
      </c>
      <c r="G149" s="13">
        <f t="shared" si="53"/>
        <v>2265624</v>
      </c>
      <c r="H149" s="13">
        <f t="shared" si="54"/>
        <v>2176754</v>
      </c>
      <c r="I149" s="14">
        <f t="shared" si="55"/>
        <v>0.48999747432568774</v>
      </c>
      <c r="J149" s="64" t="s">
        <v>150</v>
      </c>
      <c r="K149" s="1"/>
    </row>
    <row r="150" spans="1:11" ht="13.5">
      <c r="A150" s="63" t="s">
        <v>101</v>
      </c>
      <c r="B150" s="64" t="s">
        <v>153</v>
      </c>
      <c r="C150" s="41">
        <v>60</v>
      </c>
      <c r="D150" s="41">
        <v>71007</v>
      </c>
      <c r="E150" s="41">
        <v>4260436</v>
      </c>
      <c r="F150" s="50">
        <v>36213</v>
      </c>
      <c r="G150" s="13">
        <f t="shared" si="53"/>
        <v>2172780</v>
      </c>
      <c r="H150" s="13">
        <f t="shared" si="54"/>
        <v>2087656</v>
      </c>
      <c r="I150" s="14">
        <f t="shared" si="55"/>
        <v>0.49000994264436787</v>
      </c>
      <c r="J150" s="64" t="s">
        <v>150</v>
      </c>
      <c r="K150" s="1"/>
    </row>
    <row r="151" spans="1:11" ht="13.5">
      <c r="A151" s="63" t="s">
        <v>101</v>
      </c>
      <c r="B151" s="64" t="s">
        <v>154</v>
      </c>
      <c r="C151" s="41">
        <v>10</v>
      </c>
      <c r="D151" s="41">
        <v>83220</v>
      </c>
      <c r="E151" s="41">
        <v>832200</v>
      </c>
      <c r="F151" s="50">
        <v>42441</v>
      </c>
      <c r="G151" s="13">
        <f t="shared" si="53"/>
        <v>424410</v>
      </c>
      <c r="H151" s="13">
        <f t="shared" si="54"/>
        <v>407790</v>
      </c>
      <c r="I151" s="14">
        <f t="shared" si="55"/>
        <v>0.49001441961067049</v>
      </c>
      <c r="J151" s="64" t="s">
        <v>150</v>
      </c>
      <c r="K151" s="1"/>
    </row>
    <row r="152" spans="1:11" ht="25.5">
      <c r="A152" s="63" t="s">
        <v>101</v>
      </c>
      <c r="B152" s="64" t="s">
        <v>155</v>
      </c>
      <c r="C152" s="41">
        <v>35</v>
      </c>
      <c r="D152" s="41">
        <v>108115</v>
      </c>
      <c r="E152" s="41">
        <v>3784009</v>
      </c>
      <c r="F152" s="50">
        <v>54060</v>
      </c>
      <c r="G152" s="13">
        <f t="shared" si="53"/>
        <v>1892100</v>
      </c>
      <c r="H152" s="13">
        <f t="shared" si="54"/>
        <v>1891909</v>
      </c>
      <c r="I152" s="14">
        <f t="shared" si="55"/>
        <v>0.49997476221647463</v>
      </c>
      <c r="J152" s="64" t="s">
        <v>150</v>
      </c>
      <c r="K152" s="1"/>
    </row>
    <row r="153" spans="1:11" ht="13.5">
      <c r="A153" s="65" t="s">
        <v>101</v>
      </c>
      <c r="B153" s="66" t="s">
        <v>14</v>
      </c>
      <c r="C153" s="46">
        <v>84</v>
      </c>
      <c r="D153" s="46">
        <v>12000</v>
      </c>
      <c r="E153" s="46">
        <v>1008000</v>
      </c>
      <c r="F153" s="67">
        <v>11000</v>
      </c>
      <c r="G153" s="19">
        <f t="shared" si="53"/>
        <v>924000</v>
      </c>
      <c r="H153" s="19">
        <f t="shared" si="54"/>
        <v>84000</v>
      </c>
      <c r="I153" s="20">
        <f t="shared" si="55"/>
        <v>8.3333333333333329E-2</v>
      </c>
      <c r="J153" s="66" t="s">
        <v>150</v>
      </c>
      <c r="K153" s="1"/>
    </row>
    <row r="154" spans="1:11" ht="13.5">
      <c r="A154" s="150" t="s">
        <v>108</v>
      </c>
      <c r="B154" s="151"/>
      <c r="C154" s="22">
        <v>1287</v>
      </c>
      <c r="D154" s="22">
        <v>391390</v>
      </c>
      <c r="E154" s="22">
        <v>26570641</v>
      </c>
      <c r="F154" s="33"/>
      <c r="G154" s="24">
        <v>17229564</v>
      </c>
      <c r="H154" s="24">
        <f t="shared" si="54"/>
        <v>9341077</v>
      </c>
      <c r="I154" s="25">
        <f t="shared" si="55"/>
        <v>0.3515563286561284</v>
      </c>
      <c r="J154" s="21" t="s">
        <v>156</v>
      </c>
      <c r="K154" s="1" t="s">
        <v>322</v>
      </c>
    </row>
    <row r="155" spans="1:11" ht="13.5">
      <c r="A155" s="26" t="s">
        <v>110</v>
      </c>
      <c r="B155" s="27" t="s">
        <v>149</v>
      </c>
      <c r="C155" s="28">
        <v>600</v>
      </c>
      <c r="D155" s="28">
        <v>11023</v>
      </c>
      <c r="E155" s="28">
        <v>6613636</v>
      </c>
      <c r="F155" s="49">
        <v>8928</v>
      </c>
      <c r="G155" s="29">
        <f t="shared" ref="G155" si="56">C155*F155</f>
        <v>5356800</v>
      </c>
      <c r="H155" s="29">
        <f t="shared" ref="H155" si="57">E155-G155</f>
        <v>1256836</v>
      </c>
      <c r="I155" s="30">
        <f t="shared" ref="I155" si="58">H155/E155</f>
        <v>0.19003706886801752</v>
      </c>
      <c r="J155" s="27" t="s">
        <v>150</v>
      </c>
      <c r="K155" s="1"/>
    </row>
    <row r="156" spans="1:11" ht="13.5">
      <c r="A156" s="60" t="s">
        <v>110</v>
      </c>
      <c r="B156" s="11" t="s">
        <v>151</v>
      </c>
      <c r="C156" s="12">
        <v>28</v>
      </c>
      <c r="D156" s="12">
        <v>40696</v>
      </c>
      <c r="E156" s="12">
        <v>1139498</v>
      </c>
      <c r="F156" s="50">
        <v>20755</v>
      </c>
      <c r="G156" s="13">
        <f t="shared" ref="G156:G161" si="59">C156*F156</f>
        <v>581140</v>
      </c>
      <c r="H156" s="13">
        <f t="shared" ref="H156:H161" si="60">E156-G156</f>
        <v>558358</v>
      </c>
      <c r="I156" s="14">
        <f t="shared" ref="I156:I162" si="61">H156/E156</f>
        <v>0.49000349276611282</v>
      </c>
      <c r="J156" s="11" t="s">
        <v>150</v>
      </c>
      <c r="K156" s="1"/>
    </row>
    <row r="157" spans="1:11" ht="13.5">
      <c r="A157" s="60" t="s">
        <v>111</v>
      </c>
      <c r="B157" s="11" t="s">
        <v>152</v>
      </c>
      <c r="C157" s="12">
        <v>30</v>
      </c>
      <c r="D157" s="12">
        <v>65329</v>
      </c>
      <c r="E157" s="12">
        <v>1959873</v>
      </c>
      <c r="F157" s="50">
        <v>33318</v>
      </c>
      <c r="G157" s="13">
        <f t="shared" si="59"/>
        <v>999540</v>
      </c>
      <c r="H157" s="13">
        <f t="shared" si="60"/>
        <v>960333</v>
      </c>
      <c r="I157" s="14">
        <f t="shared" si="61"/>
        <v>0.48999756616882828</v>
      </c>
      <c r="J157" s="11" t="s">
        <v>150</v>
      </c>
      <c r="K157" s="1"/>
    </row>
    <row r="158" spans="1:11" ht="13.5">
      <c r="A158" s="60" t="s">
        <v>111</v>
      </c>
      <c r="B158" s="11" t="s">
        <v>153</v>
      </c>
      <c r="C158" s="12">
        <v>20</v>
      </c>
      <c r="D158" s="12">
        <v>71007</v>
      </c>
      <c r="E158" s="12">
        <v>1420145</v>
      </c>
      <c r="F158" s="50">
        <v>36213</v>
      </c>
      <c r="G158" s="13">
        <f t="shared" si="59"/>
        <v>724260</v>
      </c>
      <c r="H158" s="13">
        <f t="shared" si="60"/>
        <v>695885</v>
      </c>
      <c r="I158" s="14">
        <f t="shared" si="61"/>
        <v>0.49000982294061524</v>
      </c>
      <c r="J158" s="11" t="s">
        <v>150</v>
      </c>
      <c r="K158" s="1"/>
    </row>
    <row r="159" spans="1:11" ht="13.5">
      <c r="A159" s="60" t="s">
        <v>111</v>
      </c>
      <c r="B159" s="11" t="s">
        <v>154</v>
      </c>
      <c r="C159" s="12">
        <v>20</v>
      </c>
      <c r="D159" s="12">
        <v>83220</v>
      </c>
      <c r="E159" s="12">
        <v>1664400</v>
      </c>
      <c r="F159" s="50">
        <v>42441</v>
      </c>
      <c r="G159" s="13">
        <f t="shared" si="59"/>
        <v>848820</v>
      </c>
      <c r="H159" s="13">
        <f t="shared" si="60"/>
        <v>815580</v>
      </c>
      <c r="I159" s="14">
        <f t="shared" si="61"/>
        <v>0.49001441961067049</v>
      </c>
      <c r="J159" s="11" t="s">
        <v>150</v>
      </c>
      <c r="K159" s="1"/>
    </row>
    <row r="160" spans="1:11" ht="25.5">
      <c r="A160" s="60" t="s">
        <v>111</v>
      </c>
      <c r="B160" s="11" t="s">
        <v>155</v>
      </c>
      <c r="C160" s="12">
        <v>20</v>
      </c>
      <c r="D160" s="12">
        <v>108115</v>
      </c>
      <c r="E160" s="12">
        <v>2162291</v>
      </c>
      <c r="F160" s="50">
        <v>54060</v>
      </c>
      <c r="G160" s="13">
        <f t="shared" si="59"/>
        <v>1081200</v>
      </c>
      <c r="H160" s="13">
        <f t="shared" si="60"/>
        <v>1081091</v>
      </c>
      <c r="I160" s="14">
        <f t="shared" si="61"/>
        <v>0.49997479525188793</v>
      </c>
      <c r="J160" s="11" t="s">
        <v>150</v>
      </c>
      <c r="K160" s="1"/>
    </row>
    <row r="161" spans="1:11" ht="13.5">
      <c r="A161" s="16" t="s">
        <v>111</v>
      </c>
      <c r="B161" s="17" t="s">
        <v>14</v>
      </c>
      <c r="C161" s="18">
        <v>120</v>
      </c>
      <c r="D161" s="18">
        <v>12000</v>
      </c>
      <c r="E161" s="18">
        <v>1440000</v>
      </c>
      <c r="F161" s="67">
        <v>11000</v>
      </c>
      <c r="G161" s="19">
        <f t="shared" si="59"/>
        <v>1320000</v>
      </c>
      <c r="H161" s="19">
        <f t="shared" si="60"/>
        <v>120000</v>
      </c>
      <c r="I161" s="20">
        <f t="shared" si="61"/>
        <v>8.3333333333333329E-2</v>
      </c>
      <c r="J161" s="17" t="s">
        <v>150</v>
      </c>
      <c r="K161" s="1"/>
    </row>
    <row r="162" spans="1:11" ht="13.5">
      <c r="A162" s="150" t="s">
        <v>116</v>
      </c>
      <c r="B162" s="151"/>
      <c r="C162" s="22">
        <v>838</v>
      </c>
      <c r="D162" s="22">
        <v>391390</v>
      </c>
      <c r="E162" s="22">
        <v>16399843</v>
      </c>
      <c r="F162" s="33"/>
      <c r="G162" s="24">
        <v>10911760</v>
      </c>
      <c r="H162" s="24">
        <f>E162-G162</f>
        <v>5488083</v>
      </c>
      <c r="I162" s="25">
        <f t="shared" si="61"/>
        <v>0.33464241090600683</v>
      </c>
      <c r="J162" s="21" t="s">
        <v>156</v>
      </c>
      <c r="K162" s="1" t="s">
        <v>322</v>
      </c>
    </row>
    <row r="163" spans="1:11" ht="13.5">
      <c r="A163" s="51" t="s">
        <v>101</v>
      </c>
      <c r="B163" s="52" t="s">
        <v>157</v>
      </c>
      <c r="C163" s="53">
        <v>10</v>
      </c>
      <c r="D163" s="53">
        <v>42353</v>
      </c>
      <c r="E163" s="53">
        <v>423527</v>
      </c>
      <c r="F163" s="32">
        <f>40018/1.1</f>
        <v>36380</v>
      </c>
      <c r="G163" s="58">
        <f t="shared" ref="G163" si="62">C163*F163</f>
        <v>363800</v>
      </c>
      <c r="H163" s="58">
        <f t="shared" ref="H163" si="63">E163-G163</f>
        <v>59727</v>
      </c>
      <c r="I163" s="59">
        <f t="shared" ref="I163" si="64">H163/E163</f>
        <v>0.14102288638032523</v>
      </c>
      <c r="J163" s="52" t="s">
        <v>158</v>
      </c>
      <c r="K163" s="1"/>
    </row>
    <row r="164" spans="1:11" ht="13.5">
      <c r="A164" s="150" t="s">
        <v>108</v>
      </c>
      <c r="B164" s="151"/>
      <c r="C164" s="22">
        <v>10</v>
      </c>
      <c r="D164" s="22">
        <v>42353</v>
      </c>
      <c r="E164" s="22">
        <v>423527</v>
      </c>
      <c r="F164" s="33"/>
      <c r="G164" s="24">
        <v>363800</v>
      </c>
      <c r="H164" s="24">
        <f t="shared" ref="H164" si="65">E164-G164</f>
        <v>59727</v>
      </c>
      <c r="I164" s="25">
        <f t="shared" ref="I164" si="66">H164/E164</f>
        <v>0.14102288638032523</v>
      </c>
      <c r="J164" s="21" t="s">
        <v>159</v>
      </c>
      <c r="K164" s="1" t="s">
        <v>322</v>
      </c>
    </row>
    <row r="165" spans="1:11" ht="13.5">
      <c r="A165" s="51" t="s">
        <v>111</v>
      </c>
      <c r="B165" s="52" t="s">
        <v>157</v>
      </c>
      <c r="C165" s="53">
        <v>10</v>
      </c>
      <c r="D165" s="53">
        <v>42353</v>
      </c>
      <c r="E165" s="53">
        <v>423527</v>
      </c>
      <c r="F165" s="32">
        <f>40018/1.1</f>
        <v>36380</v>
      </c>
      <c r="G165" s="58">
        <f t="shared" ref="G165" si="67">C165*F165</f>
        <v>363800</v>
      </c>
      <c r="H165" s="58">
        <f t="shared" ref="H165:H166" si="68">E165-G165</f>
        <v>59727</v>
      </c>
      <c r="I165" s="59">
        <f t="shared" ref="I165:I166" si="69">H165/E165</f>
        <v>0.14102288638032523</v>
      </c>
      <c r="J165" s="52" t="s">
        <v>158</v>
      </c>
      <c r="K165" s="1"/>
    </row>
    <row r="166" spans="1:11" ht="13.5">
      <c r="A166" s="150" t="s">
        <v>116</v>
      </c>
      <c r="B166" s="151"/>
      <c r="C166" s="22">
        <v>10</v>
      </c>
      <c r="D166" s="22">
        <v>42353</v>
      </c>
      <c r="E166" s="22">
        <v>423527</v>
      </c>
      <c r="F166" s="33"/>
      <c r="G166" s="24">
        <v>363800</v>
      </c>
      <c r="H166" s="24">
        <f t="shared" si="68"/>
        <v>59727</v>
      </c>
      <c r="I166" s="25">
        <f t="shared" si="69"/>
        <v>0.14102288638032523</v>
      </c>
      <c r="J166" s="21" t="s">
        <v>159</v>
      </c>
      <c r="K166" s="1" t="s">
        <v>322</v>
      </c>
    </row>
    <row r="167" spans="1:11" ht="13.5">
      <c r="A167" s="26" t="s">
        <v>101</v>
      </c>
      <c r="B167" s="27" t="s">
        <v>160</v>
      </c>
      <c r="C167" s="28">
        <v>360</v>
      </c>
      <c r="D167" s="28">
        <v>7570</v>
      </c>
      <c r="E167" s="28">
        <v>2725200</v>
      </c>
      <c r="F167" s="32">
        <v>6132</v>
      </c>
      <c r="G167" s="29">
        <f t="shared" ref="G167" si="70">C167*F167</f>
        <v>2207520</v>
      </c>
      <c r="H167" s="29">
        <f t="shared" ref="H167" si="71">E167-G167</f>
        <v>517680</v>
      </c>
      <c r="I167" s="30">
        <f t="shared" ref="I167" si="72">H167/E167</f>
        <v>0.18996036988110965</v>
      </c>
      <c r="J167" s="27" t="s">
        <v>161</v>
      </c>
      <c r="K167" s="1"/>
    </row>
    <row r="168" spans="1:11" ht="13.5">
      <c r="A168" s="60" t="s">
        <v>101</v>
      </c>
      <c r="B168" s="11" t="s">
        <v>135</v>
      </c>
      <c r="C168" s="12">
        <v>340</v>
      </c>
      <c r="D168" s="12">
        <v>8194</v>
      </c>
      <c r="E168" s="12">
        <v>2785836</v>
      </c>
      <c r="F168" s="6">
        <v>6637</v>
      </c>
      <c r="G168" s="13">
        <f t="shared" ref="G168:G176" si="73">C168*F168</f>
        <v>2256580</v>
      </c>
      <c r="H168" s="13">
        <f t="shared" ref="H168:H176" si="74">E168-G168</f>
        <v>529256</v>
      </c>
      <c r="I168" s="14">
        <f t="shared" ref="I168:I176" si="75">H168/E168</f>
        <v>0.18998103262360025</v>
      </c>
      <c r="J168" s="11" t="s">
        <v>161</v>
      </c>
      <c r="K168" s="1"/>
    </row>
    <row r="169" spans="1:11" ht="13.5">
      <c r="A169" s="60" t="s">
        <v>101</v>
      </c>
      <c r="B169" s="11" t="s">
        <v>127</v>
      </c>
      <c r="C169" s="12">
        <v>12</v>
      </c>
      <c r="D169" s="12">
        <v>8439</v>
      </c>
      <c r="E169" s="12">
        <v>101269</v>
      </c>
      <c r="F169" s="6">
        <v>6835</v>
      </c>
      <c r="G169" s="13">
        <f t="shared" si="73"/>
        <v>82020</v>
      </c>
      <c r="H169" s="13">
        <f t="shared" si="74"/>
        <v>19249</v>
      </c>
      <c r="I169" s="14">
        <f t="shared" si="75"/>
        <v>0.19007791130553278</v>
      </c>
      <c r="J169" s="11" t="s">
        <v>161</v>
      </c>
      <c r="K169" s="1"/>
    </row>
    <row r="170" spans="1:11" ht="13.5">
      <c r="A170" s="60" t="s">
        <v>101</v>
      </c>
      <c r="B170" s="11" t="s">
        <v>40</v>
      </c>
      <c r="C170" s="12">
        <v>192</v>
      </c>
      <c r="D170" s="12">
        <v>6000</v>
      </c>
      <c r="E170" s="12">
        <v>1152000</v>
      </c>
      <c r="F170" s="6">
        <v>4800</v>
      </c>
      <c r="G170" s="13">
        <f t="shared" si="73"/>
        <v>921600</v>
      </c>
      <c r="H170" s="13">
        <f t="shared" si="74"/>
        <v>230400</v>
      </c>
      <c r="I170" s="14">
        <f t="shared" si="75"/>
        <v>0.2</v>
      </c>
      <c r="J170" s="11" t="s">
        <v>161</v>
      </c>
      <c r="K170" s="1"/>
    </row>
    <row r="171" spans="1:11" ht="13.5">
      <c r="A171" s="60" t="s">
        <v>101</v>
      </c>
      <c r="B171" s="11" t="s">
        <v>41</v>
      </c>
      <c r="C171" s="12">
        <v>192</v>
      </c>
      <c r="D171" s="12">
        <v>15500</v>
      </c>
      <c r="E171" s="12">
        <v>2976000</v>
      </c>
      <c r="F171" s="6">
        <v>15000</v>
      </c>
      <c r="G171" s="13">
        <f t="shared" si="73"/>
        <v>2880000</v>
      </c>
      <c r="H171" s="13">
        <f t="shared" si="74"/>
        <v>96000</v>
      </c>
      <c r="I171" s="14">
        <f t="shared" si="75"/>
        <v>3.2258064516129031E-2</v>
      </c>
      <c r="J171" s="11" t="s">
        <v>161</v>
      </c>
      <c r="K171" s="1"/>
    </row>
    <row r="172" spans="1:11" ht="13.5">
      <c r="A172" s="60" t="s">
        <v>101</v>
      </c>
      <c r="B172" s="11" t="s">
        <v>42</v>
      </c>
      <c r="C172" s="12">
        <v>48</v>
      </c>
      <c r="D172" s="12">
        <v>16500</v>
      </c>
      <c r="E172" s="12">
        <v>792000</v>
      </c>
      <c r="F172" s="6">
        <v>16000</v>
      </c>
      <c r="G172" s="13">
        <f t="shared" si="73"/>
        <v>768000</v>
      </c>
      <c r="H172" s="13">
        <f t="shared" si="74"/>
        <v>24000</v>
      </c>
      <c r="I172" s="14">
        <f t="shared" si="75"/>
        <v>3.0303030303030304E-2</v>
      </c>
      <c r="J172" s="11" t="s">
        <v>161</v>
      </c>
      <c r="K172" s="1"/>
    </row>
    <row r="173" spans="1:11" ht="13.5">
      <c r="A173" s="60" t="s">
        <v>101</v>
      </c>
      <c r="B173" s="11" t="s">
        <v>12</v>
      </c>
      <c r="C173" s="12">
        <v>600</v>
      </c>
      <c r="D173" s="12">
        <v>600</v>
      </c>
      <c r="E173" s="12">
        <v>360000</v>
      </c>
      <c r="F173" s="6">
        <v>500</v>
      </c>
      <c r="G173" s="13">
        <f t="shared" si="73"/>
        <v>300000</v>
      </c>
      <c r="H173" s="13">
        <f t="shared" si="74"/>
        <v>60000</v>
      </c>
      <c r="I173" s="14">
        <f t="shared" si="75"/>
        <v>0.16666666666666666</v>
      </c>
      <c r="J173" s="11" t="s">
        <v>161</v>
      </c>
      <c r="K173" s="1"/>
    </row>
    <row r="174" spans="1:11" ht="13.5">
      <c r="A174" s="60" t="s">
        <v>101</v>
      </c>
      <c r="B174" s="11" t="s">
        <v>129</v>
      </c>
      <c r="C174" s="12">
        <v>6</v>
      </c>
      <c r="D174" s="12">
        <v>35000</v>
      </c>
      <c r="E174" s="12">
        <v>210000</v>
      </c>
      <c r="F174" s="6">
        <v>30000</v>
      </c>
      <c r="G174" s="13">
        <f t="shared" si="73"/>
        <v>180000</v>
      </c>
      <c r="H174" s="13">
        <f t="shared" si="74"/>
        <v>30000</v>
      </c>
      <c r="I174" s="14">
        <f t="shared" si="75"/>
        <v>0.14285714285714285</v>
      </c>
      <c r="J174" s="11" t="s">
        <v>161</v>
      </c>
      <c r="K174" s="1"/>
    </row>
    <row r="175" spans="1:11" ht="13.5">
      <c r="A175" s="60" t="s">
        <v>101</v>
      </c>
      <c r="B175" s="11" t="s">
        <v>162</v>
      </c>
      <c r="C175" s="12">
        <v>35</v>
      </c>
      <c r="D175" s="12">
        <v>102087</v>
      </c>
      <c r="E175" s="12">
        <v>3573055</v>
      </c>
      <c r="F175" s="6">
        <v>52064</v>
      </c>
      <c r="G175" s="13">
        <f t="shared" si="73"/>
        <v>1822240</v>
      </c>
      <c r="H175" s="13">
        <f t="shared" si="74"/>
        <v>1750815</v>
      </c>
      <c r="I175" s="14">
        <f t="shared" si="75"/>
        <v>0.49000505169945607</v>
      </c>
      <c r="J175" s="11" t="s">
        <v>161</v>
      </c>
      <c r="K175" s="1"/>
    </row>
    <row r="176" spans="1:11" ht="13.5">
      <c r="A176" s="16" t="s">
        <v>101</v>
      </c>
      <c r="B176" s="17" t="s">
        <v>152</v>
      </c>
      <c r="C176" s="18">
        <v>25</v>
      </c>
      <c r="D176" s="18">
        <v>65329</v>
      </c>
      <c r="E176" s="18">
        <v>1633227</v>
      </c>
      <c r="F176" s="32">
        <v>33318</v>
      </c>
      <c r="G176" s="19">
        <f t="shared" si="73"/>
        <v>832950</v>
      </c>
      <c r="H176" s="19">
        <f t="shared" si="74"/>
        <v>800277</v>
      </c>
      <c r="I176" s="20">
        <f t="shared" si="75"/>
        <v>0.48999741003546965</v>
      </c>
      <c r="J176" s="17" t="s">
        <v>161</v>
      </c>
      <c r="K176" s="1"/>
    </row>
    <row r="177" spans="1:11" ht="13.5">
      <c r="A177" s="150" t="s">
        <v>108</v>
      </c>
      <c r="B177" s="151"/>
      <c r="C177" s="22">
        <v>1810</v>
      </c>
      <c r="D177" s="22">
        <v>265219</v>
      </c>
      <c r="E177" s="22">
        <v>16308587</v>
      </c>
      <c r="F177" s="33"/>
      <c r="G177" s="24">
        <v>12250910</v>
      </c>
      <c r="H177" s="24">
        <f t="shared" ref="H177" si="76">E177-G177</f>
        <v>4057677</v>
      </c>
      <c r="I177" s="25">
        <f t="shared" ref="I177" si="77">H177/E177</f>
        <v>0.2488061657334262</v>
      </c>
      <c r="J177" s="21" t="s">
        <v>163</v>
      </c>
      <c r="K177" s="1" t="s">
        <v>322</v>
      </c>
    </row>
    <row r="178" spans="1:11" ht="13.5">
      <c r="A178" s="26" t="s">
        <v>111</v>
      </c>
      <c r="B178" s="27" t="s">
        <v>160</v>
      </c>
      <c r="C178" s="28">
        <v>330</v>
      </c>
      <c r="D178" s="28">
        <v>7570</v>
      </c>
      <c r="E178" s="28">
        <v>2498100</v>
      </c>
      <c r="F178" s="32">
        <v>6132</v>
      </c>
      <c r="G178" s="29">
        <f t="shared" ref="G178" si="78">C178*F178</f>
        <v>2023560</v>
      </c>
      <c r="H178" s="29">
        <f t="shared" ref="H178" si="79">E178-G178</f>
        <v>474540</v>
      </c>
      <c r="I178" s="30">
        <f t="shared" ref="I178" si="80">H178/E178</f>
        <v>0.18996036988110965</v>
      </c>
      <c r="J178" s="27" t="s">
        <v>161</v>
      </c>
      <c r="K178" s="1"/>
    </row>
    <row r="179" spans="1:11" ht="13.5">
      <c r="A179" s="60" t="s">
        <v>111</v>
      </c>
      <c r="B179" s="11" t="s">
        <v>135</v>
      </c>
      <c r="C179" s="12">
        <v>310</v>
      </c>
      <c r="D179" s="12">
        <v>8194</v>
      </c>
      <c r="E179" s="12">
        <v>2540027</v>
      </c>
      <c r="F179" s="6">
        <v>6637</v>
      </c>
      <c r="G179" s="13">
        <f t="shared" ref="G179:G187" si="81">C179*F179</f>
        <v>2057470</v>
      </c>
      <c r="H179" s="13">
        <f t="shared" ref="H179:H188" si="82">E179-G179</f>
        <v>482557</v>
      </c>
      <c r="I179" s="14">
        <f t="shared" ref="I179:I188" si="83">H179/E179</f>
        <v>0.18998105138252466</v>
      </c>
      <c r="J179" s="11" t="s">
        <v>161</v>
      </c>
      <c r="K179" s="1"/>
    </row>
    <row r="180" spans="1:11" ht="13.5">
      <c r="A180" s="60" t="s">
        <v>111</v>
      </c>
      <c r="B180" s="11" t="s">
        <v>127</v>
      </c>
      <c r="C180" s="12">
        <v>12</v>
      </c>
      <c r="D180" s="12">
        <v>8439</v>
      </c>
      <c r="E180" s="12">
        <v>101269</v>
      </c>
      <c r="F180" s="6">
        <v>6835</v>
      </c>
      <c r="G180" s="13">
        <f t="shared" si="81"/>
        <v>82020</v>
      </c>
      <c r="H180" s="13">
        <f t="shared" si="82"/>
        <v>19249</v>
      </c>
      <c r="I180" s="14">
        <f t="shared" si="83"/>
        <v>0.19007791130553278</v>
      </c>
      <c r="J180" s="11" t="s">
        <v>161</v>
      </c>
      <c r="K180" s="1"/>
    </row>
    <row r="181" spans="1:11" ht="13.5">
      <c r="A181" s="60" t="s">
        <v>111</v>
      </c>
      <c r="B181" s="11" t="s">
        <v>40</v>
      </c>
      <c r="C181" s="12">
        <v>240</v>
      </c>
      <c r="D181" s="12">
        <v>6000</v>
      </c>
      <c r="E181" s="12">
        <v>1440000</v>
      </c>
      <c r="F181" s="6">
        <v>4800</v>
      </c>
      <c r="G181" s="13">
        <f t="shared" si="81"/>
        <v>1152000</v>
      </c>
      <c r="H181" s="13">
        <f t="shared" si="82"/>
        <v>288000</v>
      </c>
      <c r="I181" s="14">
        <f t="shared" si="83"/>
        <v>0.2</v>
      </c>
      <c r="J181" s="11" t="s">
        <v>161</v>
      </c>
      <c r="K181" s="1"/>
    </row>
    <row r="182" spans="1:11" ht="13.5">
      <c r="A182" s="60" t="s">
        <v>111</v>
      </c>
      <c r="B182" s="11" t="s">
        <v>41</v>
      </c>
      <c r="C182" s="12">
        <v>240</v>
      </c>
      <c r="D182" s="12">
        <v>15500</v>
      </c>
      <c r="E182" s="12">
        <v>3720000</v>
      </c>
      <c r="F182" s="6">
        <v>15000</v>
      </c>
      <c r="G182" s="13">
        <f t="shared" si="81"/>
        <v>3600000</v>
      </c>
      <c r="H182" s="13">
        <f t="shared" si="82"/>
        <v>120000</v>
      </c>
      <c r="I182" s="14">
        <f t="shared" si="83"/>
        <v>3.2258064516129031E-2</v>
      </c>
      <c r="J182" s="11" t="s">
        <v>161</v>
      </c>
      <c r="K182" s="1"/>
    </row>
    <row r="183" spans="1:11" ht="13.5">
      <c r="A183" s="60" t="s">
        <v>111</v>
      </c>
      <c r="B183" s="11" t="s">
        <v>12</v>
      </c>
      <c r="C183" s="12">
        <v>1200</v>
      </c>
      <c r="D183" s="12">
        <v>600</v>
      </c>
      <c r="E183" s="12">
        <v>720000</v>
      </c>
      <c r="F183" s="6">
        <v>500</v>
      </c>
      <c r="G183" s="13">
        <f t="shared" si="81"/>
        <v>600000</v>
      </c>
      <c r="H183" s="13">
        <f t="shared" si="82"/>
        <v>120000</v>
      </c>
      <c r="I183" s="14">
        <f t="shared" si="83"/>
        <v>0.16666666666666666</v>
      </c>
      <c r="J183" s="11" t="s">
        <v>161</v>
      </c>
      <c r="K183" s="1"/>
    </row>
    <row r="184" spans="1:11" ht="13.5">
      <c r="A184" s="60" t="s">
        <v>111</v>
      </c>
      <c r="B184" s="11" t="s">
        <v>129</v>
      </c>
      <c r="C184" s="12">
        <v>12</v>
      </c>
      <c r="D184" s="12">
        <v>35000</v>
      </c>
      <c r="E184" s="12">
        <v>420000</v>
      </c>
      <c r="F184" s="6">
        <v>30000</v>
      </c>
      <c r="G184" s="13">
        <f t="shared" si="81"/>
        <v>360000</v>
      </c>
      <c r="H184" s="13">
        <f t="shared" si="82"/>
        <v>60000</v>
      </c>
      <c r="I184" s="14">
        <f t="shared" si="83"/>
        <v>0.14285714285714285</v>
      </c>
      <c r="J184" s="11" t="s">
        <v>161</v>
      </c>
      <c r="K184" s="1"/>
    </row>
    <row r="185" spans="1:11" ht="13.5">
      <c r="A185" s="60" t="s">
        <v>111</v>
      </c>
      <c r="B185" s="11" t="s">
        <v>162</v>
      </c>
      <c r="C185" s="12">
        <v>25</v>
      </c>
      <c r="D185" s="12">
        <v>102087</v>
      </c>
      <c r="E185" s="12">
        <v>2552182</v>
      </c>
      <c r="F185" s="6">
        <v>52064</v>
      </c>
      <c r="G185" s="13">
        <f t="shared" si="81"/>
        <v>1301600</v>
      </c>
      <c r="H185" s="13">
        <f t="shared" si="82"/>
        <v>1250582</v>
      </c>
      <c r="I185" s="14">
        <f t="shared" si="83"/>
        <v>0.49000502315273753</v>
      </c>
      <c r="J185" s="11" t="s">
        <v>161</v>
      </c>
      <c r="K185" s="1"/>
    </row>
    <row r="186" spans="1:11" ht="13.5">
      <c r="A186" s="60" t="s">
        <v>111</v>
      </c>
      <c r="B186" s="11" t="s">
        <v>152</v>
      </c>
      <c r="C186" s="12">
        <v>20</v>
      </c>
      <c r="D186" s="12">
        <v>65329</v>
      </c>
      <c r="E186" s="12">
        <v>1306582</v>
      </c>
      <c r="F186" s="32">
        <v>33318</v>
      </c>
      <c r="G186" s="13">
        <f t="shared" si="81"/>
        <v>666360</v>
      </c>
      <c r="H186" s="13">
        <f t="shared" si="82"/>
        <v>640222</v>
      </c>
      <c r="I186" s="14">
        <f t="shared" si="83"/>
        <v>0.48999756616882828</v>
      </c>
      <c r="J186" s="11" t="s">
        <v>161</v>
      </c>
      <c r="K186" s="1"/>
    </row>
    <row r="187" spans="1:11" ht="13.5">
      <c r="A187" s="16" t="s">
        <v>111</v>
      </c>
      <c r="B187" s="17" t="s">
        <v>153</v>
      </c>
      <c r="C187" s="18">
        <v>20</v>
      </c>
      <c r="D187" s="18">
        <v>71007</v>
      </c>
      <c r="E187" s="18">
        <v>1420145</v>
      </c>
      <c r="F187" s="32">
        <v>36213</v>
      </c>
      <c r="G187" s="19">
        <f t="shared" si="81"/>
        <v>724260</v>
      </c>
      <c r="H187" s="19">
        <f t="shared" si="82"/>
        <v>695885</v>
      </c>
      <c r="I187" s="20">
        <f t="shared" si="83"/>
        <v>0.49000982294061524</v>
      </c>
      <c r="J187" s="17" t="s">
        <v>161</v>
      </c>
      <c r="K187" s="1"/>
    </row>
    <row r="188" spans="1:11" ht="13.5">
      <c r="A188" s="150" t="s">
        <v>116</v>
      </c>
      <c r="B188" s="151"/>
      <c r="C188" s="22">
        <v>2409</v>
      </c>
      <c r="D188" s="22">
        <v>319726</v>
      </c>
      <c r="E188" s="22">
        <v>16718305</v>
      </c>
      <c r="F188" s="33"/>
      <c r="G188" s="24">
        <v>12567270</v>
      </c>
      <c r="H188" s="24">
        <f t="shared" si="82"/>
        <v>4151035</v>
      </c>
      <c r="I188" s="25">
        <f t="shared" si="83"/>
        <v>0.24829281437322742</v>
      </c>
      <c r="J188" s="21" t="s">
        <v>163</v>
      </c>
      <c r="K188" s="1" t="s">
        <v>322</v>
      </c>
    </row>
    <row r="189" spans="1:11" ht="13.5">
      <c r="A189" s="68" t="s">
        <v>51</v>
      </c>
      <c r="B189" s="69" t="s">
        <v>164</v>
      </c>
      <c r="C189" s="70">
        <v>300</v>
      </c>
      <c r="D189" s="70">
        <v>55014</v>
      </c>
      <c r="E189" s="70">
        <v>3300817</v>
      </c>
      <c r="F189" s="32">
        <v>8362</v>
      </c>
      <c r="G189" s="29">
        <f t="shared" ref="G189" si="84">C189*F189</f>
        <v>2508600</v>
      </c>
      <c r="H189" s="29">
        <f t="shared" ref="H189" si="85">E189-G189</f>
        <v>792217</v>
      </c>
      <c r="I189" s="30">
        <f t="shared" ref="I189" si="86">H189/E189</f>
        <v>0.24000633782484759</v>
      </c>
      <c r="J189" s="71" t="s">
        <v>165</v>
      </c>
      <c r="K189" s="1"/>
    </row>
    <row r="190" spans="1:11" ht="13.5">
      <c r="A190" s="72" t="s">
        <v>166</v>
      </c>
      <c r="B190" s="73" t="s">
        <v>44</v>
      </c>
      <c r="C190" s="74">
        <v>260</v>
      </c>
      <c r="D190" s="74">
        <v>19855</v>
      </c>
      <c r="E190" s="74">
        <v>1290545</v>
      </c>
      <c r="F190" s="6">
        <v>3600</v>
      </c>
      <c r="G190" s="13">
        <f t="shared" ref="G190:G198" si="87">C190*F190</f>
        <v>936000</v>
      </c>
      <c r="H190" s="13">
        <f t="shared" ref="H190:H198" si="88">E190-G190</f>
        <v>354545</v>
      </c>
      <c r="I190" s="14">
        <f t="shared" ref="I190:I198" si="89">H190/E190</f>
        <v>0.27472501927480253</v>
      </c>
      <c r="J190" s="5" t="s">
        <v>165</v>
      </c>
      <c r="K190" s="1"/>
    </row>
    <row r="191" spans="1:11" ht="13.5">
      <c r="A191" s="72" t="s">
        <v>166</v>
      </c>
      <c r="B191" s="73" t="s">
        <v>167</v>
      </c>
      <c r="C191" s="74">
        <v>12</v>
      </c>
      <c r="D191" s="74">
        <v>35000</v>
      </c>
      <c r="E191" s="74">
        <v>420000</v>
      </c>
      <c r="F191" s="6">
        <v>18000</v>
      </c>
      <c r="G191" s="13">
        <f t="shared" si="87"/>
        <v>216000</v>
      </c>
      <c r="H191" s="13">
        <f t="shared" si="88"/>
        <v>204000</v>
      </c>
      <c r="I191" s="14">
        <f t="shared" si="89"/>
        <v>0.48571428571428571</v>
      </c>
      <c r="J191" s="5" t="s">
        <v>165</v>
      </c>
      <c r="K191" s="1"/>
    </row>
    <row r="192" spans="1:11" ht="13.5">
      <c r="A192" s="72" t="s">
        <v>166</v>
      </c>
      <c r="B192" s="73" t="s">
        <v>45</v>
      </c>
      <c r="C192" s="74">
        <v>300</v>
      </c>
      <c r="D192" s="74">
        <v>500</v>
      </c>
      <c r="E192" s="74">
        <v>150000</v>
      </c>
      <c r="F192" s="6">
        <v>435</v>
      </c>
      <c r="G192" s="13">
        <f t="shared" si="87"/>
        <v>130500</v>
      </c>
      <c r="H192" s="13">
        <f t="shared" si="88"/>
        <v>19500</v>
      </c>
      <c r="I192" s="14">
        <f t="shared" si="89"/>
        <v>0.13</v>
      </c>
      <c r="J192" s="5" t="s">
        <v>165</v>
      </c>
      <c r="K192" s="1"/>
    </row>
    <row r="193" spans="1:11" ht="13.5">
      <c r="A193" s="72" t="s">
        <v>166</v>
      </c>
      <c r="B193" s="73" t="s">
        <v>46</v>
      </c>
      <c r="C193" s="74">
        <v>600</v>
      </c>
      <c r="D193" s="74">
        <v>500</v>
      </c>
      <c r="E193" s="74">
        <v>300000</v>
      </c>
      <c r="F193" s="6">
        <v>435</v>
      </c>
      <c r="G193" s="13">
        <f t="shared" si="87"/>
        <v>261000</v>
      </c>
      <c r="H193" s="13">
        <f t="shared" si="88"/>
        <v>39000</v>
      </c>
      <c r="I193" s="14">
        <f t="shared" si="89"/>
        <v>0.13</v>
      </c>
      <c r="J193" s="5" t="s">
        <v>165</v>
      </c>
      <c r="K193" s="1"/>
    </row>
    <row r="194" spans="1:11" ht="13.5">
      <c r="A194" s="72" t="s">
        <v>166</v>
      </c>
      <c r="B194" s="73" t="s">
        <v>47</v>
      </c>
      <c r="C194" s="74">
        <v>200</v>
      </c>
      <c r="D194" s="74">
        <v>36900</v>
      </c>
      <c r="E194" s="74">
        <v>2460000</v>
      </c>
      <c r="F194" s="6">
        <v>11300</v>
      </c>
      <c r="G194" s="13">
        <f t="shared" si="87"/>
        <v>2260000</v>
      </c>
      <c r="H194" s="13">
        <f t="shared" si="88"/>
        <v>200000</v>
      </c>
      <c r="I194" s="14">
        <f t="shared" si="89"/>
        <v>8.1300813008130079E-2</v>
      </c>
      <c r="J194" s="5" t="s">
        <v>165</v>
      </c>
      <c r="K194" s="1"/>
    </row>
    <row r="195" spans="1:11" ht="13.5">
      <c r="A195" s="72" t="s">
        <v>166</v>
      </c>
      <c r="B195" s="73" t="s">
        <v>48</v>
      </c>
      <c r="C195" s="74">
        <v>80</v>
      </c>
      <c r="D195" s="74">
        <v>24600</v>
      </c>
      <c r="E195" s="74">
        <v>984000</v>
      </c>
      <c r="F195" s="6">
        <v>11300</v>
      </c>
      <c r="G195" s="13">
        <f t="shared" si="87"/>
        <v>904000</v>
      </c>
      <c r="H195" s="13">
        <f t="shared" si="88"/>
        <v>80000</v>
      </c>
      <c r="I195" s="14">
        <f t="shared" si="89"/>
        <v>8.1300813008130079E-2</v>
      </c>
      <c r="J195" s="5" t="s">
        <v>165</v>
      </c>
      <c r="K195" s="1"/>
    </row>
    <row r="196" spans="1:11" ht="13.5">
      <c r="A196" s="72" t="s">
        <v>166</v>
      </c>
      <c r="B196" s="73" t="s">
        <v>49</v>
      </c>
      <c r="C196" s="74">
        <v>60</v>
      </c>
      <c r="D196" s="74">
        <v>25600</v>
      </c>
      <c r="E196" s="74">
        <v>768000</v>
      </c>
      <c r="F196" s="6">
        <v>11300</v>
      </c>
      <c r="G196" s="13">
        <f t="shared" si="87"/>
        <v>678000</v>
      </c>
      <c r="H196" s="13">
        <f t="shared" si="88"/>
        <v>90000</v>
      </c>
      <c r="I196" s="14">
        <f t="shared" si="89"/>
        <v>0.1171875</v>
      </c>
      <c r="J196" s="5" t="s">
        <v>165</v>
      </c>
      <c r="K196" s="1"/>
    </row>
    <row r="197" spans="1:11" ht="13.5">
      <c r="A197" s="72" t="s">
        <v>166</v>
      </c>
      <c r="B197" s="73" t="s">
        <v>6</v>
      </c>
      <c r="C197" s="74">
        <v>6</v>
      </c>
      <c r="D197" s="74">
        <v>89000</v>
      </c>
      <c r="E197" s="74">
        <v>534000</v>
      </c>
      <c r="F197" s="6">
        <v>55000</v>
      </c>
      <c r="G197" s="13">
        <f t="shared" si="87"/>
        <v>330000</v>
      </c>
      <c r="H197" s="13">
        <f t="shared" si="88"/>
        <v>204000</v>
      </c>
      <c r="I197" s="14">
        <f t="shared" si="89"/>
        <v>0.38202247191011235</v>
      </c>
      <c r="J197" s="5" t="s">
        <v>165</v>
      </c>
      <c r="K197" s="1"/>
    </row>
    <row r="198" spans="1:11" ht="13.5">
      <c r="A198" s="68" t="s">
        <v>166</v>
      </c>
      <c r="B198" s="75" t="s">
        <v>50</v>
      </c>
      <c r="C198" s="76">
        <v>260</v>
      </c>
      <c r="D198" s="76">
        <v>18800</v>
      </c>
      <c r="E198" s="76">
        <v>1222000</v>
      </c>
      <c r="F198" s="32">
        <v>4200</v>
      </c>
      <c r="G198" s="19">
        <f t="shared" si="87"/>
        <v>1092000</v>
      </c>
      <c r="H198" s="19">
        <f t="shared" si="88"/>
        <v>130000</v>
      </c>
      <c r="I198" s="20">
        <f t="shared" si="89"/>
        <v>0.10638297872340426</v>
      </c>
      <c r="J198" s="71" t="s">
        <v>165</v>
      </c>
      <c r="K198" s="1"/>
    </row>
    <row r="199" spans="1:11" ht="13.5">
      <c r="A199" s="150" t="s">
        <v>108</v>
      </c>
      <c r="B199" s="151"/>
      <c r="C199" s="77">
        <f>SUBTOTAL(9,C126:C198)</f>
        <v>17512</v>
      </c>
      <c r="D199" s="78">
        <v>905768</v>
      </c>
      <c r="E199" s="78">
        <v>11429362</v>
      </c>
      <c r="F199" s="33"/>
      <c r="G199" s="24">
        <v>9316100</v>
      </c>
      <c r="H199" s="24">
        <f t="shared" ref="H199" si="90">E199-G199</f>
        <v>2113262</v>
      </c>
      <c r="I199" s="25">
        <f t="shared" ref="I199" si="91">H199/E199</f>
        <v>0.1848976347061192</v>
      </c>
      <c r="J199" s="57" t="s">
        <v>168</v>
      </c>
      <c r="K199" s="1" t="s">
        <v>322</v>
      </c>
    </row>
    <row r="200" spans="1:11" ht="13.5">
      <c r="A200" s="26" t="s">
        <v>111</v>
      </c>
      <c r="B200" s="69" t="s">
        <v>164</v>
      </c>
      <c r="C200" s="70">
        <v>270</v>
      </c>
      <c r="D200" s="70">
        <v>44011</v>
      </c>
      <c r="E200" s="70">
        <v>2970737</v>
      </c>
      <c r="F200" s="32">
        <v>8362</v>
      </c>
      <c r="G200" s="29">
        <f t="shared" ref="G200" si="92">C200*F200</f>
        <v>2257740</v>
      </c>
      <c r="H200" s="29">
        <f t="shared" ref="H200" si="93">E200-G200</f>
        <v>712997</v>
      </c>
      <c r="I200" s="30">
        <f t="shared" ref="I200" si="94">H200/E200</f>
        <v>0.24000677273013396</v>
      </c>
      <c r="J200" s="71" t="s">
        <v>165</v>
      </c>
      <c r="K200" s="1"/>
    </row>
    <row r="201" spans="1:11" ht="13.5">
      <c r="A201" s="60" t="s">
        <v>111</v>
      </c>
      <c r="B201" s="73" t="s">
        <v>44</v>
      </c>
      <c r="C201" s="74">
        <v>240</v>
      </c>
      <c r="D201" s="74">
        <v>9927</v>
      </c>
      <c r="E201" s="74">
        <v>1191273</v>
      </c>
      <c r="F201" s="6">
        <v>3600</v>
      </c>
      <c r="G201" s="13">
        <f t="shared" ref="G201:G207" si="95">C201*F201</f>
        <v>864000</v>
      </c>
      <c r="H201" s="13">
        <f t="shared" ref="H201:H208" si="96">E201-G201</f>
        <v>327273</v>
      </c>
      <c r="I201" s="14">
        <f t="shared" ref="I201:I208" si="97">H201/E201</f>
        <v>0.27472544076798516</v>
      </c>
      <c r="J201" s="5" t="s">
        <v>165</v>
      </c>
      <c r="K201" s="1"/>
    </row>
    <row r="202" spans="1:11" ht="13.5">
      <c r="A202" s="60" t="s">
        <v>111</v>
      </c>
      <c r="B202" s="73" t="s">
        <v>45</v>
      </c>
      <c r="C202" s="74">
        <v>300</v>
      </c>
      <c r="D202" s="74">
        <v>500</v>
      </c>
      <c r="E202" s="74">
        <v>150000</v>
      </c>
      <c r="F202" s="6">
        <v>435</v>
      </c>
      <c r="G202" s="13">
        <f t="shared" si="95"/>
        <v>130500</v>
      </c>
      <c r="H202" s="13">
        <f t="shared" si="96"/>
        <v>19500</v>
      </c>
      <c r="I202" s="14">
        <f t="shared" si="97"/>
        <v>0.13</v>
      </c>
      <c r="J202" s="5" t="s">
        <v>165</v>
      </c>
      <c r="K202" s="1"/>
    </row>
    <row r="203" spans="1:11" ht="13.5">
      <c r="A203" s="60" t="s">
        <v>111</v>
      </c>
      <c r="B203" s="73" t="s">
        <v>46</v>
      </c>
      <c r="C203" s="74">
        <v>600</v>
      </c>
      <c r="D203" s="74">
        <v>500</v>
      </c>
      <c r="E203" s="74">
        <v>300000</v>
      </c>
      <c r="F203" s="6">
        <v>435</v>
      </c>
      <c r="G203" s="13">
        <f t="shared" si="95"/>
        <v>261000</v>
      </c>
      <c r="H203" s="13">
        <f t="shared" si="96"/>
        <v>39000</v>
      </c>
      <c r="I203" s="14">
        <f t="shared" si="97"/>
        <v>0.13</v>
      </c>
      <c r="J203" s="5" t="s">
        <v>165</v>
      </c>
      <c r="K203" s="1"/>
    </row>
    <row r="204" spans="1:11" ht="13.5">
      <c r="A204" s="60" t="s">
        <v>111</v>
      </c>
      <c r="B204" s="73" t="s">
        <v>47</v>
      </c>
      <c r="C204" s="74">
        <v>180</v>
      </c>
      <c r="D204" s="74">
        <v>24600</v>
      </c>
      <c r="E204" s="74">
        <v>2214000</v>
      </c>
      <c r="F204" s="6">
        <v>11300</v>
      </c>
      <c r="G204" s="13">
        <f t="shared" si="95"/>
        <v>2034000</v>
      </c>
      <c r="H204" s="13">
        <f t="shared" si="96"/>
        <v>180000</v>
      </c>
      <c r="I204" s="14">
        <f t="shared" si="97"/>
        <v>8.1300813008130079E-2</v>
      </c>
      <c r="J204" s="5" t="s">
        <v>165</v>
      </c>
      <c r="K204" s="1"/>
    </row>
    <row r="205" spans="1:11" ht="13.5">
      <c r="A205" s="60" t="s">
        <v>111</v>
      </c>
      <c r="B205" s="73" t="s">
        <v>48</v>
      </c>
      <c r="C205" s="74">
        <v>80</v>
      </c>
      <c r="D205" s="74">
        <v>12300</v>
      </c>
      <c r="E205" s="74">
        <v>984000</v>
      </c>
      <c r="F205" s="6">
        <v>11300</v>
      </c>
      <c r="G205" s="13">
        <f t="shared" si="95"/>
        <v>904000</v>
      </c>
      <c r="H205" s="13">
        <f t="shared" si="96"/>
        <v>80000</v>
      </c>
      <c r="I205" s="14">
        <f t="shared" si="97"/>
        <v>8.1300813008130079E-2</v>
      </c>
      <c r="J205" s="5" t="s">
        <v>165</v>
      </c>
      <c r="K205" s="1"/>
    </row>
    <row r="206" spans="1:11" ht="13.5">
      <c r="A206" s="60" t="s">
        <v>111</v>
      </c>
      <c r="B206" s="73" t="s">
        <v>49</v>
      </c>
      <c r="C206" s="74">
        <v>80</v>
      </c>
      <c r="D206" s="74">
        <v>12800</v>
      </c>
      <c r="E206" s="74">
        <v>1024000</v>
      </c>
      <c r="F206" s="6">
        <v>11300</v>
      </c>
      <c r="G206" s="13">
        <f t="shared" si="95"/>
        <v>904000</v>
      </c>
      <c r="H206" s="13">
        <f t="shared" si="96"/>
        <v>120000</v>
      </c>
      <c r="I206" s="14">
        <f t="shared" si="97"/>
        <v>0.1171875</v>
      </c>
      <c r="J206" s="5" t="s">
        <v>165</v>
      </c>
      <c r="K206" s="1"/>
    </row>
    <row r="207" spans="1:11" ht="13.5">
      <c r="A207" s="16" t="s">
        <v>111</v>
      </c>
      <c r="B207" s="75" t="s">
        <v>50</v>
      </c>
      <c r="C207" s="76">
        <v>240</v>
      </c>
      <c r="D207" s="76">
        <v>9400</v>
      </c>
      <c r="E207" s="76">
        <v>1128000</v>
      </c>
      <c r="F207" s="32">
        <v>4200</v>
      </c>
      <c r="G207" s="19">
        <f t="shared" si="95"/>
        <v>1008000</v>
      </c>
      <c r="H207" s="19">
        <f t="shared" si="96"/>
        <v>120000</v>
      </c>
      <c r="I207" s="20">
        <f t="shared" si="97"/>
        <v>0.10638297872340426</v>
      </c>
      <c r="J207" s="71" t="s">
        <v>165</v>
      </c>
      <c r="K207" s="1"/>
    </row>
    <row r="208" spans="1:11" ht="13.5">
      <c r="A208" s="150" t="s">
        <v>116</v>
      </c>
      <c r="B208" s="151"/>
      <c r="C208" s="77">
        <f>SUBTOTAL(9,C200:C207)</f>
        <v>1990</v>
      </c>
      <c r="D208" s="78">
        <v>714038</v>
      </c>
      <c r="E208" s="78">
        <f>SUBTOTAL(9,E200:E207)</f>
        <v>9962010</v>
      </c>
      <c r="F208" s="33"/>
      <c r="G208" s="24">
        <v>8363240</v>
      </c>
      <c r="H208" s="24">
        <f t="shared" si="96"/>
        <v>1598770</v>
      </c>
      <c r="I208" s="25">
        <f t="shared" si="97"/>
        <v>0.16048668893124982</v>
      </c>
      <c r="J208" s="57" t="s">
        <v>168</v>
      </c>
      <c r="K208" s="1" t="s">
        <v>322</v>
      </c>
    </row>
    <row r="209" spans="1:11" ht="13.5">
      <c r="A209" s="68" t="s">
        <v>51</v>
      </c>
      <c r="B209" s="27" t="s">
        <v>1</v>
      </c>
      <c r="C209" s="28">
        <v>919</v>
      </c>
      <c r="D209" s="28">
        <v>4964</v>
      </c>
      <c r="E209" s="28">
        <f>C209*D209</f>
        <v>4561916</v>
      </c>
      <c r="F209" s="32">
        <v>3860</v>
      </c>
      <c r="G209" s="29">
        <f t="shared" ref="G209" si="98">C209*F209</f>
        <v>3547340</v>
      </c>
      <c r="H209" s="29">
        <f t="shared" ref="H209" si="99">E209-G209</f>
        <v>1014576</v>
      </c>
      <c r="I209" s="30">
        <f t="shared" ref="I209" si="100">H209/E209</f>
        <v>0.22240128928283642</v>
      </c>
      <c r="J209" s="27" t="s">
        <v>169</v>
      </c>
      <c r="K209" s="1"/>
    </row>
    <row r="210" spans="1:11" ht="13.5">
      <c r="A210" s="72" t="s">
        <v>166</v>
      </c>
      <c r="B210" s="11" t="s">
        <v>106</v>
      </c>
      <c r="C210" s="12">
        <v>360</v>
      </c>
      <c r="D210" s="12">
        <v>11003</v>
      </c>
      <c r="E210" s="12">
        <v>3960982</v>
      </c>
      <c r="F210" s="6">
        <f>9198.28/1.1</f>
        <v>8362.0727272727272</v>
      </c>
      <c r="G210" s="13">
        <f t="shared" ref="G210:G221" si="101">C210*F210</f>
        <v>3010346.1818181816</v>
      </c>
      <c r="H210" s="13">
        <f t="shared" ref="H210:H222" si="102">E210-G210</f>
        <v>950635.81818181835</v>
      </c>
      <c r="I210" s="14">
        <f t="shared" ref="I210:I222" si="103">H210/E210</f>
        <v>0.24000003488574762</v>
      </c>
      <c r="J210" s="11" t="s">
        <v>169</v>
      </c>
      <c r="K210" s="1"/>
    </row>
    <row r="211" spans="1:11" ht="13.5">
      <c r="A211" s="72" t="s">
        <v>166</v>
      </c>
      <c r="B211" s="11" t="s">
        <v>107</v>
      </c>
      <c r="C211" s="12">
        <v>70</v>
      </c>
      <c r="D211" s="12">
        <v>10919</v>
      </c>
      <c r="E211" s="12">
        <v>764336</v>
      </c>
      <c r="F211" s="6">
        <f>9128.36/1.1</f>
        <v>8298.5090909090904</v>
      </c>
      <c r="G211" s="13">
        <f t="shared" si="101"/>
        <v>580895.63636363635</v>
      </c>
      <c r="H211" s="13">
        <f t="shared" si="102"/>
        <v>183440.36363636365</v>
      </c>
      <c r="I211" s="14">
        <f t="shared" si="103"/>
        <v>0.23999963842650829</v>
      </c>
      <c r="J211" s="11" t="s">
        <v>169</v>
      </c>
      <c r="K211" s="1"/>
    </row>
    <row r="212" spans="1:11" ht="13.5">
      <c r="A212" s="72" t="s">
        <v>166</v>
      </c>
      <c r="B212" s="11" t="s">
        <v>105</v>
      </c>
      <c r="C212" s="12">
        <v>20</v>
      </c>
      <c r="D212" s="12">
        <v>32000</v>
      </c>
      <c r="E212" s="12">
        <v>640000</v>
      </c>
      <c r="F212" s="6">
        <v>16000</v>
      </c>
      <c r="G212" s="13">
        <f t="shared" si="101"/>
        <v>320000</v>
      </c>
      <c r="H212" s="13">
        <f t="shared" si="102"/>
        <v>320000</v>
      </c>
      <c r="I212" s="14">
        <f t="shared" si="103"/>
        <v>0.5</v>
      </c>
      <c r="J212" s="11" t="s">
        <v>169</v>
      </c>
      <c r="K212" s="1"/>
    </row>
    <row r="213" spans="1:11" ht="13.5">
      <c r="A213" s="72" t="s">
        <v>166</v>
      </c>
      <c r="B213" s="11" t="s">
        <v>11</v>
      </c>
      <c r="C213" s="12">
        <v>150</v>
      </c>
      <c r="D213" s="12">
        <v>600</v>
      </c>
      <c r="E213" s="12">
        <v>90000</v>
      </c>
      <c r="F213" s="6">
        <v>435</v>
      </c>
      <c r="G213" s="13">
        <f t="shared" si="101"/>
        <v>65250</v>
      </c>
      <c r="H213" s="13">
        <f t="shared" si="102"/>
        <v>24750</v>
      </c>
      <c r="I213" s="14">
        <f t="shared" si="103"/>
        <v>0.27500000000000002</v>
      </c>
      <c r="J213" s="11" t="s">
        <v>169</v>
      </c>
      <c r="K213" s="1"/>
    </row>
    <row r="214" spans="1:11" ht="13.5">
      <c r="A214" s="72" t="s">
        <v>166</v>
      </c>
      <c r="B214" s="11" t="s">
        <v>12</v>
      </c>
      <c r="C214" s="12">
        <v>1800</v>
      </c>
      <c r="D214" s="12">
        <v>600</v>
      </c>
      <c r="E214" s="12">
        <v>1080000</v>
      </c>
      <c r="F214" s="6">
        <v>435</v>
      </c>
      <c r="G214" s="13">
        <f t="shared" si="101"/>
        <v>783000</v>
      </c>
      <c r="H214" s="13">
        <f t="shared" si="102"/>
        <v>297000</v>
      </c>
      <c r="I214" s="14">
        <f t="shared" si="103"/>
        <v>0.27500000000000002</v>
      </c>
      <c r="J214" s="11" t="s">
        <v>169</v>
      </c>
      <c r="K214" s="1"/>
    </row>
    <row r="215" spans="1:11" ht="13.5">
      <c r="A215" s="72" t="s">
        <v>166</v>
      </c>
      <c r="B215" s="11" t="s">
        <v>52</v>
      </c>
      <c r="C215" s="12">
        <v>150</v>
      </c>
      <c r="D215" s="12">
        <v>600</v>
      </c>
      <c r="E215" s="12">
        <v>90000</v>
      </c>
      <c r="F215" s="6">
        <v>435</v>
      </c>
      <c r="G215" s="13">
        <f t="shared" si="101"/>
        <v>65250</v>
      </c>
      <c r="H215" s="13">
        <f t="shared" si="102"/>
        <v>24750</v>
      </c>
      <c r="I215" s="14">
        <f t="shared" si="103"/>
        <v>0.27500000000000002</v>
      </c>
      <c r="J215" s="11" t="s">
        <v>169</v>
      </c>
      <c r="K215" s="1"/>
    </row>
    <row r="216" spans="1:11" ht="13.5">
      <c r="A216" s="72" t="s">
        <v>166</v>
      </c>
      <c r="B216" s="11" t="s">
        <v>53</v>
      </c>
      <c r="C216" s="12">
        <v>48</v>
      </c>
      <c r="D216" s="12">
        <v>14900</v>
      </c>
      <c r="E216" s="12">
        <v>715200</v>
      </c>
      <c r="F216" s="6">
        <v>9000</v>
      </c>
      <c r="G216" s="13">
        <f t="shared" si="101"/>
        <v>432000</v>
      </c>
      <c r="H216" s="13">
        <f t="shared" si="102"/>
        <v>283200</v>
      </c>
      <c r="I216" s="14">
        <f t="shared" si="103"/>
        <v>0.39597315436241609</v>
      </c>
      <c r="J216" s="11" t="s">
        <v>169</v>
      </c>
      <c r="K216" s="1"/>
    </row>
    <row r="217" spans="1:11" ht="13.5">
      <c r="A217" s="72" t="s">
        <v>166</v>
      </c>
      <c r="B217" s="11" t="s">
        <v>54</v>
      </c>
      <c r="C217" s="12">
        <v>48</v>
      </c>
      <c r="D217" s="12">
        <v>14900</v>
      </c>
      <c r="E217" s="12">
        <v>715200</v>
      </c>
      <c r="F217" s="6">
        <v>10000</v>
      </c>
      <c r="G217" s="13">
        <f t="shared" si="101"/>
        <v>480000</v>
      </c>
      <c r="H217" s="13">
        <f t="shared" si="102"/>
        <v>235200</v>
      </c>
      <c r="I217" s="14">
        <f t="shared" si="103"/>
        <v>0.32885906040268459</v>
      </c>
      <c r="J217" s="11" t="s">
        <v>169</v>
      </c>
      <c r="K217" s="1"/>
    </row>
    <row r="218" spans="1:11" ht="13.5">
      <c r="A218" s="72" t="s">
        <v>166</v>
      </c>
      <c r="B218" s="11" t="s">
        <v>28</v>
      </c>
      <c r="C218" s="12">
        <v>320</v>
      </c>
      <c r="D218" s="12">
        <v>14900</v>
      </c>
      <c r="E218" s="12">
        <v>4768000</v>
      </c>
      <c r="F218" s="6">
        <v>15000</v>
      </c>
      <c r="G218" s="13">
        <f t="shared" si="101"/>
        <v>4800000</v>
      </c>
      <c r="H218" s="13">
        <f t="shared" si="102"/>
        <v>-32000</v>
      </c>
      <c r="I218" s="14">
        <f t="shared" si="103"/>
        <v>-6.7114093959731542E-3</v>
      </c>
      <c r="J218" s="11" t="s">
        <v>169</v>
      </c>
      <c r="K218" s="1"/>
    </row>
    <row r="219" spans="1:11" ht="13.5">
      <c r="A219" s="72" t="s">
        <v>166</v>
      </c>
      <c r="B219" s="11" t="s">
        <v>2</v>
      </c>
      <c r="C219" s="12">
        <v>420</v>
      </c>
      <c r="D219" s="12">
        <v>14900</v>
      </c>
      <c r="E219" s="12">
        <v>6258000</v>
      </c>
      <c r="F219" s="6">
        <v>15000</v>
      </c>
      <c r="G219" s="13">
        <f t="shared" si="101"/>
        <v>6300000</v>
      </c>
      <c r="H219" s="13">
        <f t="shared" si="102"/>
        <v>-42000</v>
      </c>
      <c r="I219" s="14">
        <f t="shared" si="103"/>
        <v>-6.7114093959731542E-3</v>
      </c>
      <c r="J219" s="11" t="s">
        <v>169</v>
      </c>
      <c r="K219" s="1"/>
    </row>
    <row r="220" spans="1:11" ht="13.5">
      <c r="A220" s="72" t="s">
        <v>166</v>
      </c>
      <c r="B220" s="11" t="s">
        <v>10</v>
      </c>
      <c r="C220" s="12">
        <v>40</v>
      </c>
      <c r="D220" s="12">
        <v>14900</v>
      </c>
      <c r="E220" s="12">
        <v>596000</v>
      </c>
      <c r="F220" s="6">
        <v>15000</v>
      </c>
      <c r="G220" s="13">
        <f t="shared" si="101"/>
        <v>600000</v>
      </c>
      <c r="H220" s="13">
        <f t="shared" si="102"/>
        <v>-4000</v>
      </c>
      <c r="I220" s="14">
        <f t="shared" si="103"/>
        <v>-6.7114093959731542E-3</v>
      </c>
      <c r="J220" s="11" t="s">
        <v>169</v>
      </c>
      <c r="K220" s="1"/>
    </row>
    <row r="221" spans="1:11" ht="13.5">
      <c r="A221" s="68" t="s">
        <v>166</v>
      </c>
      <c r="B221" s="17" t="s">
        <v>15</v>
      </c>
      <c r="C221" s="18">
        <v>900</v>
      </c>
      <c r="D221" s="18">
        <v>6900</v>
      </c>
      <c r="E221" s="18">
        <v>6210000</v>
      </c>
      <c r="F221" s="32">
        <v>5000</v>
      </c>
      <c r="G221" s="19">
        <f t="shared" si="101"/>
        <v>4500000</v>
      </c>
      <c r="H221" s="19">
        <f t="shared" si="102"/>
        <v>1710000</v>
      </c>
      <c r="I221" s="20">
        <f t="shared" si="103"/>
        <v>0.27536231884057971</v>
      </c>
      <c r="J221" s="17" t="s">
        <v>169</v>
      </c>
      <c r="K221" s="1"/>
    </row>
    <row r="222" spans="1:11" ht="13.5">
      <c r="A222" s="150" t="s">
        <v>108</v>
      </c>
      <c r="B222" s="151"/>
      <c r="C222" s="22">
        <v>5245</v>
      </c>
      <c r="D222" s="22">
        <v>147049</v>
      </c>
      <c r="E222" s="22">
        <v>30449299</v>
      </c>
      <c r="F222" s="33"/>
      <c r="G222" s="33">
        <v>25484081.81818182</v>
      </c>
      <c r="H222" s="33">
        <f t="shared" si="102"/>
        <v>4965217.1818181798</v>
      </c>
      <c r="I222" s="55">
        <f t="shared" si="103"/>
        <v>0.16306507357749614</v>
      </c>
      <c r="J222" s="21" t="s">
        <v>170</v>
      </c>
      <c r="K222" s="1" t="s">
        <v>322</v>
      </c>
    </row>
    <row r="223" spans="1:11" ht="13.5">
      <c r="A223" s="26" t="s">
        <v>111</v>
      </c>
      <c r="B223" s="27" t="s">
        <v>1</v>
      </c>
      <c r="C223" s="28">
        <v>850</v>
      </c>
      <c r="D223" s="28">
        <v>4964</v>
      </c>
      <c r="E223" s="28">
        <v>4219091</v>
      </c>
      <c r="F223" s="32">
        <v>3860</v>
      </c>
      <c r="G223" s="29">
        <f t="shared" ref="G223" si="104">C223*F223</f>
        <v>3281000</v>
      </c>
      <c r="H223" s="29">
        <f t="shared" ref="H223" si="105">E223-G223</f>
        <v>938091</v>
      </c>
      <c r="I223" s="30">
        <f t="shared" ref="I223" si="106">H223/E223</f>
        <v>0.22234433910053136</v>
      </c>
      <c r="J223" s="27" t="s">
        <v>169</v>
      </c>
      <c r="K223" s="1"/>
    </row>
    <row r="224" spans="1:11" ht="13.5">
      <c r="A224" s="60" t="s">
        <v>111</v>
      </c>
      <c r="B224" s="11" t="s">
        <v>106</v>
      </c>
      <c r="C224" s="12">
        <v>270</v>
      </c>
      <c r="D224" s="12">
        <v>11003</v>
      </c>
      <c r="E224" s="12">
        <v>2970736</v>
      </c>
      <c r="F224" s="6">
        <f>9198.28/1.1</f>
        <v>8362.0727272727272</v>
      </c>
      <c r="G224" s="13">
        <f t="shared" ref="G224:G236" si="107">C224*F224</f>
        <v>2257759.6363636362</v>
      </c>
      <c r="H224" s="13">
        <f t="shared" ref="H224:H237" si="108">E224-G224</f>
        <v>712976.36363636376</v>
      </c>
      <c r="I224" s="14">
        <f t="shared" ref="I224:I237" si="109">H224/E224</f>
        <v>0.2399999069713242</v>
      </c>
      <c r="J224" s="11" t="s">
        <v>169</v>
      </c>
      <c r="K224" s="1"/>
    </row>
    <row r="225" spans="1:11" ht="13.5">
      <c r="A225" s="60" t="s">
        <v>111</v>
      </c>
      <c r="B225" s="11" t="s">
        <v>107</v>
      </c>
      <c r="C225" s="12">
        <v>20</v>
      </c>
      <c r="D225" s="12">
        <v>10919</v>
      </c>
      <c r="E225" s="12">
        <v>218382</v>
      </c>
      <c r="F225" s="6">
        <f>9128.36/1.1</f>
        <v>8298.5090909090904</v>
      </c>
      <c r="G225" s="13">
        <f t="shared" si="107"/>
        <v>165970.18181818182</v>
      </c>
      <c r="H225" s="13">
        <f t="shared" si="108"/>
        <v>52411.818181818177</v>
      </c>
      <c r="I225" s="14">
        <f t="shared" si="109"/>
        <v>0.24000063275278263</v>
      </c>
      <c r="J225" s="11" t="s">
        <v>169</v>
      </c>
      <c r="K225" s="1"/>
    </row>
    <row r="226" spans="1:11" ht="13.5">
      <c r="A226" s="60" t="s">
        <v>111</v>
      </c>
      <c r="B226" s="11" t="s">
        <v>105</v>
      </c>
      <c r="C226" s="12">
        <v>24</v>
      </c>
      <c r="D226" s="12">
        <v>32000</v>
      </c>
      <c r="E226" s="12">
        <v>768000</v>
      </c>
      <c r="F226" s="6">
        <v>16000</v>
      </c>
      <c r="G226" s="13">
        <f t="shared" si="107"/>
        <v>384000</v>
      </c>
      <c r="H226" s="13">
        <f t="shared" si="108"/>
        <v>384000</v>
      </c>
      <c r="I226" s="14">
        <f t="shared" si="109"/>
        <v>0.5</v>
      </c>
      <c r="J226" s="11" t="s">
        <v>169</v>
      </c>
      <c r="K226" s="1"/>
    </row>
    <row r="227" spans="1:11" ht="13.5">
      <c r="A227" s="60" t="s">
        <v>111</v>
      </c>
      <c r="B227" s="11" t="s">
        <v>11</v>
      </c>
      <c r="C227" s="12">
        <v>150</v>
      </c>
      <c r="D227" s="12">
        <v>600</v>
      </c>
      <c r="E227" s="12">
        <v>90000</v>
      </c>
      <c r="F227" s="6">
        <v>435</v>
      </c>
      <c r="G227" s="13">
        <f t="shared" si="107"/>
        <v>65250</v>
      </c>
      <c r="H227" s="13">
        <f t="shared" si="108"/>
        <v>24750</v>
      </c>
      <c r="I227" s="14">
        <f t="shared" si="109"/>
        <v>0.27500000000000002</v>
      </c>
      <c r="J227" s="11" t="s">
        <v>169</v>
      </c>
      <c r="K227" s="1"/>
    </row>
    <row r="228" spans="1:11" ht="13.5">
      <c r="A228" s="60" t="s">
        <v>111</v>
      </c>
      <c r="B228" s="11" t="s">
        <v>12</v>
      </c>
      <c r="C228" s="12">
        <v>1500</v>
      </c>
      <c r="D228" s="12">
        <v>600</v>
      </c>
      <c r="E228" s="12">
        <v>900000</v>
      </c>
      <c r="F228" s="6">
        <v>435</v>
      </c>
      <c r="G228" s="13">
        <f t="shared" si="107"/>
        <v>652500</v>
      </c>
      <c r="H228" s="13">
        <f t="shared" si="108"/>
        <v>247500</v>
      </c>
      <c r="I228" s="14">
        <f t="shared" si="109"/>
        <v>0.27500000000000002</v>
      </c>
      <c r="J228" s="11" t="s">
        <v>169</v>
      </c>
      <c r="K228" s="1"/>
    </row>
    <row r="229" spans="1:11" ht="13.5">
      <c r="A229" s="60" t="s">
        <v>111</v>
      </c>
      <c r="B229" s="11" t="s">
        <v>52</v>
      </c>
      <c r="C229" s="12">
        <v>150</v>
      </c>
      <c r="D229" s="12">
        <v>600</v>
      </c>
      <c r="E229" s="12">
        <v>90000</v>
      </c>
      <c r="F229" s="6">
        <v>435</v>
      </c>
      <c r="G229" s="13">
        <f t="shared" si="107"/>
        <v>65250</v>
      </c>
      <c r="H229" s="13">
        <f t="shared" si="108"/>
        <v>24750</v>
      </c>
      <c r="I229" s="14">
        <f t="shared" si="109"/>
        <v>0.27500000000000002</v>
      </c>
      <c r="J229" s="11" t="s">
        <v>169</v>
      </c>
      <c r="K229" s="1"/>
    </row>
    <row r="230" spans="1:11" ht="13.5">
      <c r="A230" s="60" t="s">
        <v>111</v>
      </c>
      <c r="B230" s="11" t="s">
        <v>53</v>
      </c>
      <c r="C230" s="12">
        <v>48</v>
      </c>
      <c r="D230" s="12">
        <v>14900</v>
      </c>
      <c r="E230" s="12">
        <v>715200</v>
      </c>
      <c r="F230" s="6">
        <v>9000</v>
      </c>
      <c r="G230" s="13">
        <f t="shared" si="107"/>
        <v>432000</v>
      </c>
      <c r="H230" s="13">
        <f t="shared" si="108"/>
        <v>283200</v>
      </c>
      <c r="I230" s="14">
        <f t="shared" si="109"/>
        <v>0.39597315436241609</v>
      </c>
      <c r="J230" s="11" t="s">
        <v>169</v>
      </c>
      <c r="K230" s="1"/>
    </row>
    <row r="231" spans="1:11" ht="13.5">
      <c r="A231" s="60" t="s">
        <v>111</v>
      </c>
      <c r="B231" s="11" t="s">
        <v>54</v>
      </c>
      <c r="C231" s="12">
        <v>48</v>
      </c>
      <c r="D231" s="12">
        <v>14900</v>
      </c>
      <c r="E231" s="12">
        <v>715200</v>
      </c>
      <c r="F231" s="6">
        <v>10000</v>
      </c>
      <c r="G231" s="13">
        <f t="shared" si="107"/>
        <v>480000</v>
      </c>
      <c r="H231" s="13">
        <f t="shared" si="108"/>
        <v>235200</v>
      </c>
      <c r="I231" s="14">
        <f t="shared" si="109"/>
        <v>0.32885906040268459</v>
      </c>
      <c r="J231" s="11" t="s">
        <v>169</v>
      </c>
      <c r="K231" s="1"/>
    </row>
    <row r="232" spans="1:11" ht="13.5">
      <c r="A232" s="60" t="s">
        <v>111</v>
      </c>
      <c r="B232" s="11" t="s">
        <v>28</v>
      </c>
      <c r="C232" s="12">
        <v>240</v>
      </c>
      <c r="D232" s="12">
        <v>14900</v>
      </c>
      <c r="E232" s="12">
        <v>3576000</v>
      </c>
      <c r="F232" s="6">
        <v>15000</v>
      </c>
      <c r="G232" s="13">
        <f t="shared" si="107"/>
        <v>3600000</v>
      </c>
      <c r="H232" s="13">
        <f t="shared" si="108"/>
        <v>-24000</v>
      </c>
      <c r="I232" s="14">
        <f t="shared" si="109"/>
        <v>-6.7114093959731542E-3</v>
      </c>
      <c r="J232" s="11" t="s">
        <v>169</v>
      </c>
      <c r="K232" s="1"/>
    </row>
    <row r="233" spans="1:11" ht="13.5">
      <c r="A233" s="60" t="s">
        <v>111</v>
      </c>
      <c r="B233" s="11" t="s">
        <v>2</v>
      </c>
      <c r="C233" s="12">
        <v>320</v>
      </c>
      <c r="D233" s="12">
        <v>14900</v>
      </c>
      <c r="E233" s="12">
        <v>4768000</v>
      </c>
      <c r="F233" s="6">
        <v>15000</v>
      </c>
      <c r="G233" s="13">
        <f t="shared" si="107"/>
        <v>4800000</v>
      </c>
      <c r="H233" s="13">
        <f t="shared" si="108"/>
        <v>-32000</v>
      </c>
      <c r="I233" s="14">
        <f t="shared" si="109"/>
        <v>-6.7114093959731542E-3</v>
      </c>
      <c r="J233" s="11" t="s">
        <v>169</v>
      </c>
      <c r="K233" s="1"/>
    </row>
    <row r="234" spans="1:11" ht="13.5">
      <c r="A234" s="60" t="s">
        <v>111</v>
      </c>
      <c r="B234" s="11" t="s">
        <v>10</v>
      </c>
      <c r="C234" s="12">
        <v>40</v>
      </c>
      <c r="D234" s="12">
        <v>14900</v>
      </c>
      <c r="E234" s="12">
        <v>596000</v>
      </c>
      <c r="F234" s="6">
        <v>15000</v>
      </c>
      <c r="G234" s="13">
        <f t="shared" si="107"/>
        <v>600000</v>
      </c>
      <c r="H234" s="13">
        <f t="shared" si="108"/>
        <v>-4000</v>
      </c>
      <c r="I234" s="14">
        <f t="shared" si="109"/>
        <v>-6.7114093959731542E-3</v>
      </c>
      <c r="J234" s="11" t="s">
        <v>169</v>
      </c>
      <c r="K234" s="1"/>
    </row>
    <row r="235" spans="1:11" ht="13.5">
      <c r="A235" s="60" t="s">
        <v>111</v>
      </c>
      <c r="B235" s="11" t="s">
        <v>15</v>
      </c>
      <c r="C235" s="12">
        <v>860</v>
      </c>
      <c r="D235" s="12">
        <v>6900</v>
      </c>
      <c r="E235" s="12">
        <v>5934000</v>
      </c>
      <c r="F235" s="32">
        <v>5000</v>
      </c>
      <c r="G235" s="13">
        <f t="shared" si="107"/>
        <v>4300000</v>
      </c>
      <c r="H235" s="13">
        <f t="shared" si="108"/>
        <v>1634000</v>
      </c>
      <c r="I235" s="14">
        <f t="shared" si="109"/>
        <v>0.27536231884057971</v>
      </c>
      <c r="J235" s="11" t="s">
        <v>169</v>
      </c>
      <c r="K235" s="1"/>
    </row>
    <row r="236" spans="1:11" ht="13.5">
      <c r="A236" s="16" t="s">
        <v>111</v>
      </c>
      <c r="B236" s="17" t="s">
        <v>7</v>
      </c>
      <c r="C236" s="18">
        <v>10</v>
      </c>
      <c r="D236" s="18">
        <v>50000</v>
      </c>
      <c r="E236" s="18">
        <v>500000</v>
      </c>
      <c r="F236" s="32">
        <v>50000</v>
      </c>
      <c r="G236" s="19">
        <f t="shared" si="107"/>
        <v>500000</v>
      </c>
      <c r="H236" s="19">
        <f t="shared" si="108"/>
        <v>0</v>
      </c>
      <c r="I236" s="20">
        <f t="shared" si="109"/>
        <v>0</v>
      </c>
      <c r="J236" s="17" t="s">
        <v>169</v>
      </c>
      <c r="K236" s="1"/>
    </row>
    <row r="237" spans="1:11" ht="13.5">
      <c r="A237" s="150" t="s">
        <v>116</v>
      </c>
      <c r="B237" s="151"/>
      <c r="C237" s="22">
        <v>4530</v>
      </c>
      <c r="D237" s="22">
        <v>192085</v>
      </c>
      <c r="E237" s="22">
        <v>26060609</v>
      </c>
      <c r="F237" s="33"/>
      <c r="G237" s="33">
        <v>21583729.81818182</v>
      </c>
      <c r="H237" s="33">
        <f t="shared" si="108"/>
        <v>4476879.1818181798</v>
      </c>
      <c r="I237" s="55">
        <f t="shared" si="109"/>
        <v>0.17178720504260586</v>
      </c>
      <c r="J237" s="21" t="s">
        <v>170</v>
      </c>
      <c r="K237" s="1" t="s">
        <v>322</v>
      </c>
    </row>
    <row r="238" spans="1:11" ht="13.5">
      <c r="A238" s="68" t="s">
        <v>166</v>
      </c>
      <c r="B238" s="27" t="s">
        <v>171</v>
      </c>
      <c r="C238" s="28">
        <v>8</v>
      </c>
      <c r="D238" s="28">
        <v>47836</v>
      </c>
      <c r="E238" s="28">
        <v>382691</v>
      </c>
      <c r="F238" s="32">
        <f>21051/1.1</f>
        <v>19137.272727272724</v>
      </c>
      <c r="G238" s="29">
        <f t="shared" ref="G238" si="110">C238*F238</f>
        <v>153098.18181818179</v>
      </c>
      <c r="H238" s="29">
        <f t="shared" ref="H238" si="111">E238-G238</f>
        <v>229592.81818181821</v>
      </c>
      <c r="I238" s="30">
        <f t="shared" ref="I238" si="112">H238/E238</f>
        <v>0.59994308249166617</v>
      </c>
      <c r="J238" s="27" t="s">
        <v>172</v>
      </c>
      <c r="K238" s="1"/>
    </row>
    <row r="239" spans="1:11" ht="13.5">
      <c r="A239" s="72" t="s">
        <v>166</v>
      </c>
      <c r="B239" s="11" t="s">
        <v>103</v>
      </c>
      <c r="C239" s="12">
        <v>2</v>
      </c>
      <c r="D239" s="12">
        <v>25740</v>
      </c>
      <c r="E239" s="12">
        <v>51480</v>
      </c>
      <c r="F239" s="6">
        <f>21802/1.1</f>
        <v>19820</v>
      </c>
      <c r="G239" s="13">
        <f t="shared" ref="G239:G241" si="113">C239*F239</f>
        <v>39640</v>
      </c>
      <c r="H239" s="13">
        <f t="shared" ref="H239:H242" si="114">E239-G239</f>
        <v>11840</v>
      </c>
      <c r="I239" s="14">
        <f t="shared" ref="I239:I242" si="115">H239/E239</f>
        <v>0.22999222999222999</v>
      </c>
      <c r="J239" s="11" t="s">
        <v>172</v>
      </c>
      <c r="K239" s="1"/>
    </row>
    <row r="240" spans="1:11" ht="13.5">
      <c r="A240" s="72" t="s">
        <v>166</v>
      </c>
      <c r="B240" s="11" t="s">
        <v>135</v>
      </c>
      <c r="C240" s="12">
        <v>90</v>
      </c>
      <c r="D240" s="12">
        <v>8194</v>
      </c>
      <c r="E240" s="12">
        <v>737427</v>
      </c>
      <c r="F240" s="6">
        <v>6637</v>
      </c>
      <c r="G240" s="13">
        <f t="shared" si="113"/>
        <v>597330</v>
      </c>
      <c r="H240" s="13">
        <f t="shared" si="114"/>
        <v>140097</v>
      </c>
      <c r="I240" s="14">
        <f t="shared" si="115"/>
        <v>0.18998083878133021</v>
      </c>
      <c r="J240" s="11" t="s">
        <v>172</v>
      </c>
      <c r="K240" s="1"/>
    </row>
    <row r="241" spans="1:11" ht="13.5">
      <c r="A241" s="68" t="s">
        <v>166</v>
      </c>
      <c r="B241" s="17" t="s">
        <v>160</v>
      </c>
      <c r="C241" s="18">
        <v>90</v>
      </c>
      <c r="D241" s="18">
        <v>7570</v>
      </c>
      <c r="E241" s="18">
        <v>681300</v>
      </c>
      <c r="F241" s="32">
        <v>6132</v>
      </c>
      <c r="G241" s="19">
        <f t="shared" si="113"/>
        <v>551880</v>
      </c>
      <c r="H241" s="19">
        <f t="shared" si="114"/>
        <v>129420</v>
      </c>
      <c r="I241" s="20">
        <f t="shared" si="115"/>
        <v>0.18996036988110965</v>
      </c>
      <c r="J241" s="17" t="s">
        <v>172</v>
      </c>
      <c r="K241" s="1"/>
    </row>
    <row r="242" spans="1:11" ht="13.5">
      <c r="A242" s="150" t="s">
        <v>108</v>
      </c>
      <c r="B242" s="151"/>
      <c r="C242" s="22">
        <v>190</v>
      </c>
      <c r="D242" s="22">
        <v>89340</v>
      </c>
      <c r="E242" s="22">
        <v>1852898</v>
      </c>
      <c r="F242" s="33"/>
      <c r="G242" s="33">
        <v>1341948.1818181816</v>
      </c>
      <c r="H242" s="33">
        <f t="shared" si="114"/>
        <v>510949.81818181835</v>
      </c>
      <c r="I242" s="55">
        <f t="shared" si="115"/>
        <v>0.27575712110532707</v>
      </c>
      <c r="J242" s="21" t="s">
        <v>173</v>
      </c>
      <c r="K242" s="1" t="s">
        <v>322</v>
      </c>
    </row>
    <row r="243" spans="1:11" ht="13.5">
      <c r="A243" s="26" t="s">
        <v>111</v>
      </c>
      <c r="B243" s="27" t="s">
        <v>174</v>
      </c>
      <c r="C243" s="28">
        <v>9</v>
      </c>
      <c r="D243" s="28">
        <v>262727</v>
      </c>
      <c r="E243" s="28">
        <v>2364545</v>
      </c>
      <c r="F243" s="32">
        <f>264200/1.1</f>
        <v>240181.81818181818</v>
      </c>
      <c r="G243" s="29">
        <f t="shared" ref="G243" si="116">C243*F243</f>
        <v>2161636.3636363638</v>
      </c>
      <c r="H243" s="29">
        <f t="shared" ref="H243" si="117">E243-G243</f>
        <v>202908.63636363624</v>
      </c>
      <c r="I243" s="30">
        <f t="shared" ref="I243" si="118">H243/E243</f>
        <v>8.5812973051321184E-2</v>
      </c>
      <c r="J243" s="27" t="s">
        <v>172</v>
      </c>
      <c r="K243" s="1"/>
    </row>
    <row r="244" spans="1:11" ht="13.5">
      <c r="A244" s="60" t="s">
        <v>111</v>
      </c>
      <c r="B244" s="11" t="s">
        <v>135</v>
      </c>
      <c r="C244" s="12">
        <v>100</v>
      </c>
      <c r="D244" s="12">
        <v>8194</v>
      </c>
      <c r="E244" s="12">
        <v>819364</v>
      </c>
      <c r="F244" s="6">
        <v>6637</v>
      </c>
      <c r="G244" s="13">
        <f t="shared" ref="G244:G261" si="119">C244*F244</f>
        <v>663700</v>
      </c>
      <c r="H244" s="13">
        <f t="shared" ref="H244:H262" si="120">E244-G244</f>
        <v>155664</v>
      </c>
      <c r="I244" s="14">
        <f t="shared" ref="I244:I262" si="121">H244/E244</f>
        <v>0.18998149784466978</v>
      </c>
      <c r="J244" s="11" t="s">
        <v>172</v>
      </c>
      <c r="K244" s="1"/>
    </row>
    <row r="245" spans="1:11" ht="13.5">
      <c r="A245" s="16" t="s">
        <v>111</v>
      </c>
      <c r="B245" s="17" t="s">
        <v>160</v>
      </c>
      <c r="C245" s="18">
        <v>100</v>
      </c>
      <c r="D245" s="18">
        <v>7570</v>
      </c>
      <c r="E245" s="18">
        <v>757000</v>
      </c>
      <c r="F245" s="32">
        <v>6132</v>
      </c>
      <c r="G245" s="19">
        <f t="shared" si="119"/>
        <v>613200</v>
      </c>
      <c r="H245" s="19">
        <f t="shared" si="120"/>
        <v>143800</v>
      </c>
      <c r="I245" s="20">
        <f t="shared" si="121"/>
        <v>0.18996036988110965</v>
      </c>
      <c r="J245" s="17" t="s">
        <v>172</v>
      </c>
      <c r="K245" s="1"/>
    </row>
    <row r="246" spans="1:11" ht="13.5">
      <c r="A246" s="150" t="s">
        <v>116</v>
      </c>
      <c r="B246" s="151"/>
      <c r="C246" s="22">
        <v>209</v>
      </c>
      <c r="D246" s="22">
        <v>278491</v>
      </c>
      <c r="E246" s="22">
        <v>3940909</v>
      </c>
      <c r="F246" s="33"/>
      <c r="G246" s="24">
        <v>3438536.3636363638</v>
      </c>
      <c r="H246" s="24">
        <f t="shared" si="120"/>
        <v>502372.63636363624</v>
      </c>
      <c r="I246" s="25">
        <f t="shared" si="121"/>
        <v>0.12747633512056133</v>
      </c>
      <c r="J246" s="21" t="s">
        <v>173</v>
      </c>
      <c r="K246" s="1" t="s">
        <v>322</v>
      </c>
    </row>
    <row r="247" spans="1:11" ht="13.5">
      <c r="A247" s="68" t="s">
        <v>166</v>
      </c>
      <c r="B247" s="27" t="s">
        <v>12</v>
      </c>
      <c r="C247" s="28">
        <v>2250</v>
      </c>
      <c r="D247" s="28">
        <v>500</v>
      </c>
      <c r="E247" s="28">
        <v>1125000</v>
      </c>
      <c r="F247" s="32">
        <v>435</v>
      </c>
      <c r="G247" s="29">
        <f>C247*F247</f>
        <v>978750</v>
      </c>
      <c r="H247" s="29">
        <f t="shared" si="120"/>
        <v>146250</v>
      </c>
      <c r="I247" s="30">
        <f t="shared" si="121"/>
        <v>0.13</v>
      </c>
      <c r="J247" s="27" t="s">
        <v>175</v>
      </c>
      <c r="K247" s="1"/>
    </row>
    <row r="248" spans="1:11" ht="13.5">
      <c r="A248" s="72" t="s">
        <v>166</v>
      </c>
      <c r="B248" s="11" t="s">
        <v>3</v>
      </c>
      <c r="C248" s="12">
        <v>960</v>
      </c>
      <c r="D248" s="12">
        <v>5300</v>
      </c>
      <c r="E248" s="12">
        <v>5088000</v>
      </c>
      <c r="F248" s="6">
        <v>4200</v>
      </c>
      <c r="G248" s="13">
        <f t="shared" si="119"/>
        <v>4032000</v>
      </c>
      <c r="H248" s="13">
        <f t="shared" si="120"/>
        <v>1056000</v>
      </c>
      <c r="I248" s="14">
        <f t="shared" si="121"/>
        <v>0.20754716981132076</v>
      </c>
      <c r="J248" s="11" t="s">
        <v>175</v>
      </c>
      <c r="K248" s="1"/>
    </row>
    <row r="249" spans="1:11" ht="13.5">
      <c r="A249" s="72" t="s">
        <v>166</v>
      </c>
      <c r="B249" s="11" t="s">
        <v>4</v>
      </c>
      <c r="C249" s="12">
        <v>420</v>
      </c>
      <c r="D249" s="12">
        <v>11500</v>
      </c>
      <c r="E249" s="12">
        <v>4830000</v>
      </c>
      <c r="F249" s="6">
        <v>11200</v>
      </c>
      <c r="G249" s="13">
        <f t="shared" si="119"/>
        <v>4704000</v>
      </c>
      <c r="H249" s="13">
        <f t="shared" si="120"/>
        <v>126000</v>
      </c>
      <c r="I249" s="14">
        <f t="shared" si="121"/>
        <v>2.6086956521739129E-2</v>
      </c>
      <c r="J249" s="11" t="s">
        <v>175</v>
      </c>
      <c r="K249" s="1"/>
    </row>
    <row r="250" spans="1:11" ht="13.5">
      <c r="A250" s="72" t="s">
        <v>166</v>
      </c>
      <c r="B250" s="11" t="s">
        <v>6</v>
      </c>
      <c r="C250" s="12">
        <v>24</v>
      </c>
      <c r="D250" s="12">
        <v>60000</v>
      </c>
      <c r="E250" s="12">
        <v>1440000</v>
      </c>
      <c r="F250" s="6">
        <v>55000</v>
      </c>
      <c r="G250" s="13">
        <f t="shared" si="119"/>
        <v>1320000</v>
      </c>
      <c r="H250" s="13">
        <f t="shared" si="120"/>
        <v>120000</v>
      </c>
      <c r="I250" s="14">
        <f t="shared" si="121"/>
        <v>8.3333333333333329E-2</v>
      </c>
      <c r="J250" s="11" t="s">
        <v>175</v>
      </c>
      <c r="K250" s="1"/>
    </row>
    <row r="251" spans="1:11" ht="13.5">
      <c r="A251" s="72" t="s">
        <v>166</v>
      </c>
      <c r="B251" s="11" t="s">
        <v>105</v>
      </c>
      <c r="C251" s="12">
        <v>18</v>
      </c>
      <c r="D251" s="12">
        <v>25000</v>
      </c>
      <c r="E251" s="12">
        <v>450000</v>
      </c>
      <c r="F251" s="6">
        <v>16000</v>
      </c>
      <c r="G251" s="13">
        <f t="shared" si="119"/>
        <v>288000</v>
      </c>
      <c r="H251" s="13">
        <f t="shared" si="120"/>
        <v>162000</v>
      </c>
      <c r="I251" s="14">
        <f t="shared" si="121"/>
        <v>0.36</v>
      </c>
      <c r="J251" s="11" t="s">
        <v>175</v>
      </c>
      <c r="K251" s="1"/>
    </row>
    <row r="252" spans="1:11" ht="13.5">
      <c r="A252" s="72" t="s">
        <v>166</v>
      </c>
      <c r="B252" s="11" t="s">
        <v>176</v>
      </c>
      <c r="C252" s="12">
        <v>615</v>
      </c>
      <c r="D252" s="12">
        <v>11475</v>
      </c>
      <c r="E252" s="12">
        <v>7057405</v>
      </c>
      <c r="F252" s="6">
        <v>9295</v>
      </c>
      <c r="G252" s="13">
        <f t="shared" si="119"/>
        <v>5716425</v>
      </c>
      <c r="H252" s="13">
        <f t="shared" si="120"/>
        <v>1340980</v>
      </c>
      <c r="I252" s="14">
        <f t="shared" si="121"/>
        <v>0.19001035083008555</v>
      </c>
      <c r="J252" s="11" t="s">
        <v>175</v>
      </c>
      <c r="K252" s="1"/>
    </row>
    <row r="253" spans="1:11" ht="13.5">
      <c r="A253" s="72" t="s">
        <v>166</v>
      </c>
      <c r="B253" s="11" t="s">
        <v>149</v>
      </c>
      <c r="C253" s="12">
        <v>615</v>
      </c>
      <c r="D253" s="12">
        <v>11023</v>
      </c>
      <c r="E253" s="12">
        <v>6778977</v>
      </c>
      <c r="F253" s="6">
        <v>8928</v>
      </c>
      <c r="G253" s="13">
        <f t="shared" si="119"/>
        <v>5490720</v>
      </c>
      <c r="H253" s="13">
        <f t="shared" si="120"/>
        <v>1288257</v>
      </c>
      <c r="I253" s="14">
        <f t="shared" si="121"/>
        <v>0.19003708081617623</v>
      </c>
      <c r="J253" s="11" t="s">
        <v>175</v>
      </c>
      <c r="K253" s="1"/>
    </row>
    <row r="254" spans="1:11" ht="13.5">
      <c r="A254" s="72" t="s">
        <v>166</v>
      </c>
      <c r="B254" s="11" t="s">
        <v>177</v>
      </c>
      <c r="C254" s="12">
        <v>72</v>
      </c>
      <c r="D254" s="12">
        <v>14000</v>
      </c>
      <c r="E254" s="12">
        <v>1008000</v>
      </c>
      <c r="F254" s="6">
        <v>13500</v>
      </c>
      <c r="G254" s="13">
        <f t="shared" si="119"/>
        <v>972000</v>
      </c>
      <c r="H254" s="13">
        <f t="shared" si="120"/>
        <v>36000</v>
      </c>
      <c r="I254" s="14">
        <f t="shared" si="121"/>
        <v>3.5714285714285712E-2</v>
      </c>
      <c r="J254" s="11" t="s">
        <v>175</v>
      </c>
      <c r="K254" s="1"/>
    </row>
    <row r="255" spans="1:11" ht="13.5">
      <c r="A255" s="72" t="s">
        <v>166</v>
      </c>
      <c r="B255" s="11" t="s">
        <v>178</v>
      </c>
      <c r="C255" s="12">
        <v>408</v>
      </c>
      <c r="D255" s="12">
        <v>14000</v>
      </c>
      <c r="E255" s="12">
        <v>5712000</v>
      </c>
      <c r="F255" s="6">
        <v>13500</v>
      </c>
      <c r="G255" s="13">
        <f t="shared" si="119"/>
        <v>5508000</v>
      </c>
      <c r="H255" s="13">
        <f t="shared" si="120"/>
        <v>204000</v>
      </c>
      <c r="I255" s="14">
        <f t="shared" si="121"/>
        <v>3.5714285714285712E-2</v>
      </c>
      <c r="J255" s="11" t="s">
        <v>175</v>
      </c>
      <c r="K255" s="1"/>
    </row>
    <row r="256" spans="1:11" ht="13.5">
      <c r="A256" s="72" t="s">
        <v>166</v>
      </c>
      <c r="B256" s="11" t="s">
        <v>179</v>
      </c>
      <c r="C256" s="12">
        <v>144</v>
      </c>
      <c r="D256" s="12">
        <v>14000</v>
      </c>
      <c r="E256" s="12">
        <v>2016000</v>
      </c>
      <c r="F256" s="6">
        <v>13500</v>
      </c>
      <c r="G256" s="13">
        <f t="shared" si="119"/>
        <v>1944000</v>
      </c>
      <c r="H256" s="13">
        <f t="shared" si="120"/>
        <v>72000</v>
      </c>
      <c r="I256" s="14">
        <f t="shared" si="121"/>
        <v>3.5714285714285712E-2</v>
      </c>
      <c r="J256" s="11" t="s">
        <v>175</v>
      </c>
      <c r="K256" s="1"/>
    </row>
    <row r="257" spans="1:11" ht="13.5">
      <c r="A257" s="72" t="s">
        <v>166</v>
      </c>
      <c r="B257" s="11" t="s">
        <v>54</v>
      </c>
      <c r="C257" s="12">
        <v>120</v>
      </c>
      <c r="D257" s="12">
        <v>14000</v>
      </c>
      <c r="E257" s="12">
        <v>1680000</v>
      </c>
      <c r="F257" s="6">
        <v>14300</v>
      </c>
      <c r="G257" s="13">
        <f t="shared" si="119"/>
        <v>1716000</v>
      </c>
      <c r="H257" s="13">
        <f t="shared" si="120"/>
        <v>-36000</v>
      </c>
      <c r="I257" s="14">
        <f t="shared" si="121"/>
        <v>-2.1428571428571429E-2</v>
      </c>
      <c r="J257" s="11" t="s">
        <v>175</v>
      </c>
      <c r="K257" s="1"/>
    </row>
    <row r="258" spans="1:11" ht="13.5">
      <c r="A258" s="72" t="s">
        <v>166</v>
      </c>
      <c r="B258" s="11" t="s">
        <v>180</v>
      </c>
      <c r="C258" s="12">
        <v>288</v>
      </c>
      <c r="D258" s="12">
        <v>6400</v>
      </c>
      <c r="E258" s="12">
        <v>1843200</v>
      </c>
      <c r="F258" s="6">
        <v>6000</v>
      </c>
      <c r="G258" s="13">
        <f t="shared" si="119"/>
        <v>1728000</v>
      </c>
      <c r="H258" s="13">
        <f t="shared" si="120"/>
        <v>115200</v>
      </c>
      <c r="I258" s="14">
        <f t="shared" si="121"/>
        <v>6.25E-2</v>
      </c>
      <c r="J258" s="11" t="s">
        <v>175</v>
      </c>
      <c r="K258" s="1"/>
    </row>
    <row r="259" spans="1:11" ht="13.5">
      <c r="A259" s="72" t="s">
        <v>166</v>
      </c>
      <c r="B259" s="11" t="s">
        <v>181</v>
      </c>
      <c r="C259" s="12">
        <v>96</v>
      </c>
      <c r="D259" s="12">
        <v>6400</v>
      </c>
      <c r="E259" s="12">
        <v>614400</v>
      </c>
      <c r="F259" s="6">
        <v>6000</v>
      </c>
      <c r="G259" s="13">
        <f t="shared" si="119"/>
        <v>576000</v>
      </c>
      <c r="H259" s="13">
        <f t="shared" si="120"/>
        <v>38400</v>
      </c>
      <c r="I259" s="14">
        <f t="shared" si="121"/>
        <v>6.25E-2</v>
      </c>
      <c r="J259" s="11" t="s">
        <v>175</v>
      </c>
      <c r="K259" s="1"/>
    </row>
    <row r="260" spans="1:11" ht="13.5">
      <c r="A260" s="72" t="s">
        <v>166</v>
      </c>
      <c r="B260" s="11" t="s">
        <v>182</v>
      </c>
      <c r="C260" s="12">
        <v>96</v>
      </c>
      <c r="D260" s="12">
        <v>2000</v>
      </c>
      <c r="E260" s="12">
        <v>192000</v>
      </c>
      <c r="F260" s="6">
        <v>2000</v>
      </c>
      <c r="G260" s="13">
        <f t="shared" si="119"/>
        <v>192000</v>
      </c>
      <c r="H260" s="13">
        <f t="shared" si="120"/>
        <v>0</v>
      </c>
      <c r="I260" s="14">
        <f t="shared" si="121"/>
        <v>0</v>
      </c>
      <c r="J260" s="11" t="s">
        <v>175</v>
      </c>
      <c r="K260" s="1"/>
    </row>
    <row r="261" spans="1:11" ht="13.5">
      <c r="A261" s="68" t="s">
        <v>166</v>
      </c>
      <c r="B261" s="17" t="s">
        <v>41</v>
      </c>
      <c r="C261" s="18">
        <v>48</v>
      </c>
      <c r="D261" s="18">
        <v>14300</v>
      </c>
      <c r="E261" s="18">
        <v>686400</v>
      </c>
      <c r="F261" s="32">
        <v>10000</v>
      </c>
      <c r="G261" s="19">
        <f t="shared" si="119"/>
        <v>480000</v>
      </c>
      <c r="H261" s="19">
        <f t="shared" si="120"/>
        <v>206400</v>
      </c>
      <c r="I261" s="20">
        <f t="shared" si="121"/>
        <v>0.30069930069930068</v>
      </c>
      <c r="J261" s="17" t="s">
        <v>175</v>
      </c>
      <c r="K261" s="1"/>
    </row>
    <row r="262" spans="1:11" ht="13.5">
      <c r="A262" s="150" t="s">
        <v>108</v>
      </c>
      <c r="B262" s="151"/>
      <c r="C262" s="22">
        <v>6174</v>
      </c>
      <c r="D262" s="22">
        <v>209898</v>
      </c>
      <c r="E262" s="22">
        <v>40521382</v>
      </c>
      <c r="F262" s="33"/>
      <c r="G262" s="33">
        <v>35645895</v>
      </c>
      <c r="H262" s="33">
        <f t="shared" si="120"/>
        <v>4875487</v>
      </c>
      <c r="I262" s="55">
        <f t="shared" si="121"/>
        <v>0.12031887263864791</v>
      </c>
      <c r="J262" s="21" t="s">
        <v>183</v>
      </c>
      <c r="K262" s="1" t="s">
        <v>322</v>
      </c>
    </row>
    <row r="263" spans="1:11" ht="13.5">
      <c r="A263" s="26" t="s">
        <v>111</v>
      </c>
      <c r="B263" s="27" t="s">
        <v>12</v>
      </c>
      <c r="C263" s="28">
        <v>2550</v>
      </c>
      <c r="D263" s="28">
        <v>500</v>
      </c>
      <c r="E263" s="94">
        <v>1275000</v>
      </c>
      <c r="F263" s="95">
        <v>435</v>
      </c>
      <c r="G263" s="139">
        <f t="shared" ref="G263" si="122">C263*F263</f>
        <v>1109250</v>
      </c>
      <c r="H263" s="139">
        <f t="shared" ref="H263" si="123">E263-G263</f>
        <v>165750</v>
      </c>
      <c r="I263" s="141">
        <f t="shared" ref="I263" si="124">H263/E263</f>
        <v>0.13</v>
      </c>
      <c r="J263" s="93" t="s">
        <v>175</v>
      </c>
      <c r="K263" s="1"/>
    </row>
    <row r="264" spans="1:11" ht="13.5">
      <c r="A264" s="60" t="s">
        <v>111</v>
      </c>
      <c r="B264" s="11" t="s">
        <v>52</v>
      </c>
      <c r="C264" s="12">
        <v>150</v>
      </c>
      <c r="D264" s="12">
        <v>500</v>
      </c>
      <c r="E264" s="12">
        <v>75000</v>
      </c>
      <c r="F264" s="104">
        <v>435</v>
      </c>
      <c r="G264" s="13">
        <f t="shared" ref="G264:G278" si="125">C264*F264</f>
        <v>65250</v>
      </c>
      <c r="H264" s="13">
        <f t="shared" ref="H264:H279" si="126">E264-G264</f>
        <v>9750</v>
      </c>
      <c r="I264" s="14">
        <f t="shared" ref="I264:I279" si="127">H264/E264</f>
        <v>0.13</v>
      </c>
      <c r="J264" s="11" t="s">
        <v>175</v>
      </c>
      <c r="K264" s="1"/>
    </row>
    <row r="265" spans="1:11" ht="13.5">
      <c r="A265" s="60" t="s">
        <v>111</v>
      </c>
      <c r="B265" s="11" t="s">
        <v>3</v>
      </c>
      <c r="C265" s="12">
        <v>984</v>
      </c>
      <c r="D265" s="12">
        <v>5300</v>
      </c>
      <c r="E265" s="12">
        <v>5215200</v>
      </c>
      <c r="F265" s="104">
        <v>4200</v>
      </c>
      <c r="G265" s="13">
        <f t="shared" si="125"/>
        <v>4132800</v>
      </c>
      <c r="H265" s="13">
        <f t="shared" si="126"/>
        <v>1082400</v>
      </c>
      <c r="I265" s="14">
        <f t="shared" si="127"/>
        <v>0.20754716981132076</v>
      </c>
      <c r="J265" s="11" t="s">
        <v>175</v>
      </c>
      <c r="K265" s="1"/>
    </row>
    <row r="266" spans="1:11" ht="13.5">
      <c r="A266" s="60" t="s">
        <v>111</v>
      </c>
      <c r="B266" s="11" t="s">
        <v>4</v>
      </c>
      <c r="C266" s="12">
        <v>600</v>
      </c>
      <c r="D266" s="12">
        <v>11500</v>
      </c>
      <c r="E266" s="12">
        <v>6900000</v>
      </c>
      <c r="F266" s="104">
        <v>11200</v>
      </c>
      <c r="G266" s="13">
        <f t="shared" si="125"/>
        <v>6720000</v>
      </c>
      <c r="H266" s="13">
        <f t="shared" si="126"/>
        <v>180000</v>
      </c>
      <c r="I266" s="14">
        <f t="shared" si="127"/>
        <v>2.6086956521739129E-2</v>
      </c>
      <c r="J266" s="11" t="s">
        <v>175</v>
      </c>
      <c r="K266" s="1"/>
    </row>
    <row r="267" spans="1:11" ht="13.5">
      <c r="A267" s="60" t="s">
        <v>111</v>
      </c>
      <c r="B267" s="11" t="s">
        <v>105</v>
      </c>
      <c r="C267" s="12">
        <v>18</v>
      </c>
      <c r="D267" s="12">
        <v>25000</v>
      </c>
      <c r="E267" s="12">
        <v>450000</v>
      </c>
      <c r="F267" s="104">
        <v>16000</v>
      </c>
      <c r="G267" s="13">
        <f t="shared" si="125"/>
        <v>288000</v>
      </c>
      <c r="H267" s="13">
        <f t="shared" si="126"/>
        <v>162000</v>
      </c>
      <c r="I267" s="14">
        <f t="shared" si="127"/>
        <v>0.36</v>
      </c>
      <c r="J267" s="11" t="s">
        <v>175</v>
      </c>
      <c r="K267" s="1"/>
    </row>
    <row r="268" spans="1:11" ht="13.5">
      <c r="A268" s="60" t="s">
        <v>111</v>
      </c>
      <c r="B268" s="11" t="s">
        <v>176</v>
      </c>
      <c r="C268" s="12">
        <v>620</v>
      </c>
      <c r="D268" s="12">
        <v>11475</v>
      </c>
      <c r="E268" s="12">
        <v>7114782</v>
      </c>
      <c r="F268" s="104">
        <v>9295</v>
      </c>
      <c r="G268" s="13">
        <f t="shared" si="125"/>
        <v>5762900</v>
      </c>
      <c r="H268" s="13">
        <f t="shared" si="126"/>
        <v>1351882</v>
      </c>
      <c r="I268" s="14">
        <f t="shared" si="127"/>
        <v>0.19001031936045265</v>
      </c>
      <c r="J268" s="11" t="s">
        <v>175</v>
      </c>
      <c r="K268" s="1"/>
    </row>
    <row r="269" spans="1:11" ht="13.5">
      <c r="A269" s="60" t="s">
        <v>111</v>
      </c>
      <c r="B269" s="11" t="s">
        <v>149</v>
      </c>
      <c r="C269" s="12">
        <v>620</v>
      </c>
      <c r="D269" s="12">
        <v>11023</v>
      </c>
      <c r="E269" s="12">
        <v>6834091</v>
      </c>
      <c r="F269" s="104">
        <v>8928</v>
      </c>
      <c r="G269" s="13">
        <f t="shared" si="125"/>
        <v>5535360</v>
      </c>
      <c r="H269" s="13">
        <f t="shared" si="126"/>
        <v>1298731</v>
      </c>
      <c r="I269" s="14">
        <f t="shared" si="127"/>
        <v>0.19003712417642668</v>
      </c>
      <c r="J269" s="11" t="s">
        <v>175</v>
      </c>
      <c r="K269" s="1"/>
    </row>
    <row r="270" spans="1:11" ht="13.5">
      <c r="A270" s="60" t="s">
        <v>111</v>
      </c>
      <c r="B270" s="11" t="s">
        <v>177</v>
      </c>
      <c r="C270" s="12">
        <v>96</v>
      </c>
      <c r="D270" s="12">
        <v>14000</v>
      </c>
      <c r="E270" s="12">
        <v>1344000</v>
      </c>
      <c r="F270" s="104">
        <v>13500</v>
      </c>
      <c r="G270" s="13">
        <f t="shared" si="125"/>
        <v>1296000</v>
      </c>
      <c r="H270" s="13">
        <f t="shared" si="126"/>
        <v>48000</v>
      </c>
      <c r="I270" s="14">
        <f t="shared" si="127"/>
        <v>3.5714285714285712E-2</v>
      </c>
      <c r="J270" s="11" t="s">
        <v>175</v>
      </c>
      <c r="K270" s="1"/>
    </row>
    <row r="271" spans="1:11" ht="13.5">
      <c r="A271" s="60" t="s">
        <v>111</v>
      </c>
      <c r="B271" s="11" t="s">
        <v>178</v>
      </c>
      <c r="C271" s="12">
        <v>408</v>
      </c>
      <c r="D271" s="12">
        <v>14000</v>
      </c>
      <c r="E271" s="12">
        <v>5712000</v>
      </c>
      <c r="F271" s="104">
        <v>13500</v>
      </c>
      <c r="G271" s="13">
        <f t="shared" si="125"/>
        <v>5508000</v>
      </c>
      <c r="H271" s="13">
        <f t="shared" si="126"/>
        <v>204000</v>
      </c>
      <c r="I271" s="14">
        <f t="shared" si="127"/>
        <v>3.5714285714285712E-2</v>
      </c>
      <c r="J271" s="11" t="s">
        <v>175</v>
      </c>
      <c r="K271" s="1"/>
    </row>
    <row r="272" spans="1:11" ht="13.5">
      <c r="A272" s="60" t="s">
        <v>111</v>
      </c>
      <c r="B272" s="11" t="s">
        <v>179</v>
      </c>
      <c r="C272" s="12">
        <v>216</v>
      </c>
      <c r="D272" s="12">
        <v>14000</v>
      </c>
      <c r="E272" s="12">
        <v>3024000</v>
      </c>
      <c r="F272" s="104">
        <v>13500</v>
      </c>
      <c r="G272" s="13">
        <f t="shared" si="125"/>
        <v>2916000</v>
      </c>
      <c r="H272" s="13">
        <f t="shared" si="126"/>
        <v>108000</v>
      </c>
      <c r="I272" s="14">
        <f t="shared" si="127"/>
        <v>3.5714285714285712E-2</v>
      </c>
      <c r="J272" s="11" t="s">
        <v>175</v>
      </c>
      <c r="K272" s="1"/>
    </row>
    <row r="273" spans="1:11" ht="13.5">
      <c r="A273" s="60" t="s">
        <v>111</v>
      </c>
      <c r="B273" s="11" t="s">
        <v>54</v>
      </c>
      <c r="C273" s="12">
        <v>192</v>
      </c>
      <c r="D273" s="12">
        <v>14000</v>
      </c>
      <c r="E273" s="12">
        <v>2688000</v>
      </c>
      <c r="F273" s="104">
        <v>14300</v>
      </c>
      <c r="G273" s="13">
        <f t="shared" si="125"/>
        <v>2745600</v>
      </c>
      <c r="H273" s="13">
        <f t="shared" si="126"/>
        <v>-57600</v>
      </c>
      <c r="I273" s="14">
        <f t="shared" si="127"/>
        <v>-2.1428571428571429E-2</v>
      </c>
      <c r="J273" s="11" t="s">
        <v>175</v>
      </c>
      <c r="K273" s="1"/>
    </row>
    <row r="274" spans="1:11" ht="13.5">
      <c r="A274" s="60" t="s">
        <v>111</v>
      </c>
      <c r="B274" s="11" t="s">
        <v>180</v>
      </c>
      <c r="C274" s="12">
        <v>408</v>
      </c>
      <c r="D274" s="12">
        <v>6400</v>
      </c>
      <c r="E274" s="12">
        <v>2611200</v>
      </c>
      <c r="F274" s="104">
        <v>6000</v>
      </c>
      <c r="G274" s="13">
        <f t="shared" si="125"/>
        <v>2448000</v>
      </c>
      <c r="H274" s="13">
        <f t="shared" si="126"/>
        <v>163200</v>
      </c>
      <c r="I274" s="14">
        <f t="shared" si="127"/>
        <v>6.25E-2</v>
      </c>
      <c r="J274" s="11" t="s">
        <v>175</v>
      </c>
      <c r="K274" s="1"/>
    </row>
    <row r="275" spans="1:11" ht="13.5">
      <c r="A275" s="60" t="s">
        <v>111</v>
      </c>
      <c r="B275" s="11" t="s">
        <v>181</v>
      </c>
      <c r="C275" s="12">
        <v>24</v>
      </c>
      <c r="D275" s="12">
        <v>6400</v>
      </c>
      <c r="E275" s="12">
        <v>153600</v>
      </c>
      <c r="F275" s="104">
        <v>6000</v>
      </c>
      <c r="G275" s="13">
        <f t="shared" si="125"/>
        <v>144000</v>
      </c>
      <c r="H275" s="13">
        <f t="shared" si="126"/>
        <v>9600</v>
      </c>
      <c r="I275" s="14">
        <f t="shared" si="127"/>
        <v>6.25E-2</v>
      </c>
      <c r="J275" s="11" t="s">
        <v>175</v>
      </c>
      <c r="K275" s="1"/>
    </row>
    <row r="276" spans="1:11" ht="13.5">
      <c r="A276" s="60" t="s">
        <v>111</v>
      </c>
      <c r="B276" s="11" t="s">
        <v>182</v>
      </c>
      <c r="C276" s="12">
        <v>24</v>
      </c>
      <c r="D276" s="12">
        <v>2000</v>
      </c>
      <c r="E276" s="12">
        <v>48000</v>
      </c>
      <c r="F276" s="104">
        <v>2000</v>
      </c>
      <c r="G276" s="13">
        <f t="shared" si="125"/>
        <v>48000</v>
      </c>
      <c r="H276" s="13">
        <f t="shared" si="126"/>
        <v>0</v>
      </c>
      <c r="I276" s="14">
        <f t="shared" si="127"/>
        <v>0</v>
      </c>
      <c r="J276" s="11" t="s">
        <v>175</v>
      </c>
      <c r="K276" s="1"/>
    </row>
    <row r="277" spans="1:11" ht="13.5">
      <c r="A277" s="60" t="s">
        <v>111</v>
      </c>
      <c r="B277" s="11" t="s">
        <v>41</v>
      </c>
      <c r="C277" s="12">
        <v>72</v>
      </c>
      <c r="D277" s="12">
        <v>14300</v>
      </c>
      <c r="E277" s="12">
        <v>1029600</v>
      </c>
      <c r="F277" s="104">
        <v>10000</v>
      </c>
      <c r="G277" s="13">
        <f t="shared" si="125"/>
        <v>720000</v>
      </c>
      <c r="H277" s="13">
        <f t="shared" si="126"/>
        <v>309600</v>
      </c>
      <c r="I277" s="14">
        <f t="shared" si="127"/>
        <v>0.30069930069930068</v>
      </c>
      <c r="J277" s="11" t="s">
        <v>175</v>
      </c>
      <c r="K277" s="1"/>
    </row>
    <row r="278" spans="1:11" ht="13.5">
      <c r="A278" s="16" t="s">
        <v>111</v>
      </c>
      <c r="B278" s="17" t="s">
        <v>184</v>
      </c>
      <c r="C278" s="18">
        <v>12</v>
      </c>
      <c r="D278" s="18">
        <v>32000</v>
      </c>
      <c r="E278" s="100">
        <v>384000</v>
      </c>
      <c r="F278" s="101">
        <v>25000</v>
      </c>
      <c r="G278" s="140">
        <f t="shared" si="125"/>
        <v>300000</v>
      </c>
      <c r="H278" s="140">
        <f t="shared" si="126"/>
        <v>84000</v>
      </c>
      <c r="I278" s="142">
        <f t="shared" si="127"/>
        <v>0.21875</v>
      </c>
      <c r="J278" s="99" t="s">
        <v>175</v>
      </c>
      <c r="K278" s="1"/>
    </row>
    <row r="279" spans="1:11" ht="13.5">
      <c r="A279" s="150" t="s">
        <v>116</v>
      </c>
      <c r="B279" s="151"/>
      <c r="C279" s="22">
        <v>6993</v>
      </c>
      <c r="D279" s="22">
        <v>187698</v>
      </c>
      <c r="E279" s="22">
        <v>44858473</v>
      </c>
      <c r="F279" s="33"/>
      <c r="G279" s="33">
        <v>39739160</v>
      </c>
      <c r="H279" s="33">
        <f t="shared" si="126"/>
        <v>5119313</v>
      </c>
      <c r="I279" s="55">
        <f t="shared" si="127"/>
        <v>0.11412142807446879</v>
      </c>
      <c r="J279" s="21" t="s">
        <v>183</v>
      </c>
      <c r="K279" s="1" t="s">
        <v>322</v>
      </c>
    </row>
    <row r="280" spans="1:11" ht="13.5">
      <c r="A280" s="68" t="s">
        <v>166</v>
      </c>
      <c r="B280" s="27" t="s">
        <v>12</v>
      </c>
      <c r="C280" s="28">
        <v>900</v>
      </c>
      <c r="D280" s="28">
        <v>500</v>
      </c>
      <c r="E280" s="94">
        <v>450000</v>
      </c>
      <c r="F280" s="95">
        <v>435</v>
      </c>
      <c r="G280" s="139">
        <f t="shared" ref="G280" si="128">C280*F280</f>
        <v>391500</v>
      </c>
      <c r="H280" s="139">
        <f t="shared" ref="H280" si="129">E280-G280</f>
        <v>58500</v>
      </c>
      <c r="I280" s="30">
        <f t="shared" ref="I280" si="130">H280/E280</f>
        <v>0.13</v>
      </c>
      <c r="J280" s="27" t="s">
        <v>185</v>
      </c>
      <c r="K280" s="1"/>
    </row>
    <row r="281" spans="1:11" ht="13.5">
      <c r="A281" s="72" t="s">
        <v>166</v>
      </c>
      <c r="B281" s="11" t="s">
        <v>52</v>
      </c>
      <c r="C281" s="12">
        <v>300</v>
      </c>
      <c r="D281" s="12">
        <v>500</v>
      </c>
      <c r="E281" s="12">
        <v>150000</v>
      </c>
      <c r="F281" s="104">
        <v>435</v>
      </c>
      <c r="G281" s="13">
        <f t="shared" ref="G281:G297" si="131">C281*F281</f>
        <v>130500</v>
      </c>
      <c r="H281" s="13">
        <f t="shared" ref="H281:H298" si="132">E281-G281</f>
        <v>19500</v>
      </c>
      <c r="I281" s="14">
        <f t="shared" ref="I281:I298" si="133">H281/E281</f>
        <v>0.13</v>
      </c>
      <c r="J281" s="11" t="s">
        <v>185</v>
      </c>
      <c r="K281" s="1"/>
    </row>
    <row r="282" spans="1:11" ht="13.5">
      <c r="A282" s="72" t="s">
        <v>166</v>
      </c>
      <c r="B282" s="11" t="s">
        <v>28</v>
      </c>
      <c r="C282" s="12">
        <v>220</v>
      </c>
      <c r="D282" s="12">
        <v>13400</v>
      </c>
      <c r="E282" s="12">
        <v>2948000</v>
      </c>
      <c r="F282" s="104">
        <v>14500</v>
      </c>
      <c r="G282" s="13">
        <f t="shared" si="131"/>
        <v>3190000</v>
      </c>
      <c r="H282" s="13">
        <f t="shared" si="132"/>
        <v>-242000</v>
      </c>
      <c r="I282" s="14">
        <f t="shared" si="133"/>
        <v>-8.2089552238805971E-2</v>
      </c>
      <c r="J282" s="11" t="s">
        <v>185</v>
      </c>
      <c r="K282" s="1"/>
    </row>
    <row r="283" spans="1:11" ht="13.5">
      <c r="A283" s="72" t="s">
        <v>166</v>
      </c>
      <c r="B283" s="11" t="s">
        <v>2</v>
      </c>
      <c r="C283" s="12">
        <v>220</v>
      </c>
      <c r="D283" s="12">
        <v>14400</v>
      </c>
      <c r="E283" s="12">
        <v>3168000</v>
      </c>
      <c r="F283" s="104">
        <v>14500</v>
      </c>
      <c r="G283" s="13">
        <f t="shared" si="131"/>
        <v>3190000</v>
      </c>
      <c r="H283" s="13">
        <f t="shared" si="132"/>
        <v>-22000</v>
      </c>
      <c r="I283" s="14">
        <f t="shared" si="133"/>
        <v>-6.9444444444444441E-3</v>
      </c>
      <c r="J283" s="11" t="s">
        <v>185</v>
      </c>
      <c r="K283" s="1"/>
    </row>
    <row r="284" spans="1:11" ht="13.5">
      <c r="A284" s="72" t="s">
        <v>166</v>
      </c>
      <c r="B284" s="11" t="s">
        <v>10</v>
      </c>
      <c r="C284" s="12">
        <v>140</v>
      </c>
      <c r="D284" s="12">
        <v>15400</v>
      </c>
      <c r="E284" s="12">
        <v>2156000</v>
      </c>
      <c r="F284" s="104">
        <v>14500</v>
      </c>
      <c r="G284" s="13">
        <f t="shared" si="131"/>
        <v>2030000</v>
      </c>
      <c r="H284" s="13">
        <f t="shared" si="132"/>
        <v>126000</v>
      </c>
      <c r="I284" s="14">
        <f t="shared" si="133"/>
        <v>5.844155844155844E-2</v>
      </c>
      <c r="J284" s="11" t="s">
        <v>185</v>
      </c>
      <c r="K284" s="1"/>
    </row>
    <row r="285" spans="1:11" ht="13.5">
      <c r="A285" s="72" t="s">
        <v>166</v>
      </c>
      <c r="B285" s="11" t="s">
        <v>58</v>
      </c>
      <c r="C285" s="12">
        <v>40</v>
      </c>
      <c r="D285" s="12">
        <v>15000</v>
      </c>
      <c r="E285" s="12">
        <v>600000</v>
      </c>
      <c r="F285" s="104">
        <v>14500</v>
      </c>
      <c r="G285" s="13">
        <f t="shared" si="131"/>
        <v>580000</v>
      </c>
      <c r="H285" s="13">
        <f t="shared" si="132"/>
        <v>20000</v>
      </c>
      <c r="I285" s="14">
        <f t="shared" si="133"/>
        <v>3.3333333333333333E-2</v>
      </c>
      <c r="J285" s="11" t="s">
        <v>185</v>
      </c>
      <c r="K285" s="1"/>
    </row>
    <row r="286" spans="1:11" ht="13.5">
      <c r="A286" s="72" t="s">
        <v>166</v>
      </c>
      <c r="B286" s="11" t="s">
        <v>29</v>
      </c>
      <c r="C286" s="12">
        <v>25</v>
      </c>
      <c r="D286" s="12">
        <v>7600</v>
      </c>
      <c r="E286" s="12">
        <v>190000</v>
      </c>
      <c r="F286" s="104">
        <v>6000</v>
      </c>
      <c r="G286" s="13">
        <f t="shared" si="131"/>
        <v>150000</v>
      </c>
      <c r="H286" s="13">
        <f t="shared" si="132"/>
        <v>40000</v>
      </c>
      <c r="I286" s="14">
        <f t="shared" si="133"/>
        <v>0.21052631578947367</v>
      </c>
      <c r="J286" s="11" t="s">
        <v>185</v>
      </c>
      <c r="K286" s="1"/>
    </row>
    <row r="287" spans="1:11" ht="13.5">
      <c r="A287" s="72" t="s">
        <v>166</v>
      </c>
      <c r="B287" s="11" t="s">
        <v>3</v>
      </c>
      <c r="C287" s="12">
        <v>672</v>
      </c>
      <c r="D287" s="12">
        <v>6600</v>
      </c>
      <c r="E287" s="12">
        <v>4435200</v>
      </c>
      <c r="F287" s="104">
        <v>5000</v>
      </c>
      <c r="G287" s="13">
        <f t="shared" si="131"/>
        <v>3360000</v>
      </c>
      <c r="H287" s="13">
        <f t="shared" si="132"/>
        <v>1075200</v>
      </c>
      <c r="I287" s="14">
        <f t="shared" si="133"/>
        <v>0.24242424242424243</v>
      </c>
      <c r="J287" s="11" t="s">
        <v>185</v>
      </c>
      <c r="K287" s="1"/>
    </row>
    <row r="288" spans="1:11" ht="13.5">
      <c r="A288" s="72" t="s">
        <v>166</v>
      </c>
      <c r="B288" s="11" t="s">
        <v>59</v>
      </c>
      <c r="C288" s="12">
        <v>100</v>
      </c>
      <c r="D288" s="12">
        <v>18400</v>
      </c>
      <c r="E288" s="12">
        <v>1840000</v>
      </c>
      <c r="F288" s="104">
        <v>15500</v>
      </c>
      <c r="G288" s="13">
        <f t="shared" si="131"/>
        <v>1550000</v>
      </c>
      <c r="H288" s="13">
        <f t="shared" si="132"/>
        <v>290000</v>
      </c>
      <c r="I288" s="14">
        <f t="shared" si="133"/>
        <v>0.15760869565217392</v>
      </c>
      <c r="J288" s="11" t="s">
        <v>185</v>
      </c>
      <c r="K288" s="1"/>
    </row>
    <row r="289" spans="1:11" ht="13.5">
      <c r="A289" s="72" t="s">
        <v>166</v>
      </c>
      <c r="B289" s="11" t="s">
        <v>105</v>
      </c>
      <c r="C289" s="12">
        <v>12</v>
      </c>
      <c r="D289" s="12">
        <v>28000</v>
      </c>
      <c r="E289" s="12">
        <v>336000</v>
      </c>
      <c r="F289" s="104">
        <v>16000</v>
      </c>
      <c r="G289" s="13">
        <f t="shared" si="131"/>
        <v>192000</v>
      </c>
      <c r="H289" s="13">
        <f t="shared" si="132"/>
        <v>144000</v>
      </c>
      <c r="I289" s="14">
        <f t="shared" si="133"/>
        <v>0.42857142857142855</v>
      </c>
      <c r="J289" s="11" t="s">
        <v>185</v>
      </c>
      <c r="K289" s="1"/>
    </row>
    <row r="290" spans="1:11" ht="13.5">
      <c r="A290" s="72" t="s">
        <v>166</v>
      </c>
      <c r="B290" s="11" t="s">
        <v>6</v>
      </c>
      <c r="C290" s="12">
        <v>6</v>
      </c>
      <c r="D290" s="12">
        <v>68000</v>
      </c>
      <c r="E290" s="12">
        <v>408000</v>
      </c>
      <c r="F290" s="104">
        <v>55000</v>
      </c>
      <c r="G290" s="13">
        <f t="shared" si="131"/>
        <v>330000</v>
      </c>
      <c r="H290" s="13">
        <f t="shared" si="132"/>
        <v>78000</v>
      </c>
      <c r="I290" s="14">
        <f t="shared" si="133"/>
        <v>0.19117647058823528</v>
      </c>
      <c r="J290" s="11" t="s">
        <v>185</v>
      </c>
      <c r="K290" s="1"/>
    </row>
    <row r="291" spans="1:11" ht="13.5">
      <c r="A291" s="72" t="s">
        <v>166</v>
      </c>
      <c r="B291" s="11" t="s">
        <v>41</v>
      </c>
      <c r="C291" s="12">
        <v>48</v>
      </c>
      <c r="D291" s="12">
        <v>17000</v>
      </c>
      <c r="E291" s="12">
        <v>816000</v>
      </c>
      <c r="F291" s="104">
        <v>11500</v>
      </c>
      <c r="G291" s="13">
        <f t="shared" si="131"/>
        <v>552000</v>
      </c>
      <c r="H291" s="13">
        <f t="shared" si="132"/>
        <v>264000</v>
      </c>
      <c r="I291" s="14">
        <f t="shared" si="133"/>
        <v>0.3235294117647059</v>
      </c>
      <c r="J291" s="11" t="s">
        <v>185</v>
      </c>
      <c r="K291" s="1"/>
    </row>
    <row r="292" spans="1:11" ht="13.5">
      <c r="A292" s="72" t="s">
        <v>166</v>
      </c>
      <c r="B292" s="11" t="s">
        <v>1</v>
      </c>
      <c r="C292" s="12">
        <v>750</v>
      </c>
      <c r="D292" s="12">
        <v>4964</v>
      </c>
      <c r="E292" s="12">
        <v>3722727</v>
      </c>
      <c r="F292" s="104">
        <v>3860</v>
      </c>
      <c r="G292" s="13">
        <f t="shared" si="131"/>
        <v>2895000</v>
      </c>
      <c r="H292" s="13">
        <f t="shared" si="132"/>
        <v>827727</v>
      </c>
      <c r="I292" s="14">
        <f t="shared" si="133"/>
        <v>0.22234426537320626</v>
      </c>
      <c r="J292" s="11" t="s">
        <v>185</v>
      </c>
      <c r="K292" s="1"/>
    </row>
    <row r="293" spans="1:11" ht="13.5">
      <c r="A293" s="72" t="s">
        <v>166</v>
      </c>
      <c r="B293" s="11" t="s">
        <v>135</v>
      </c>
      <c r="C293" s="12">
        <v>710</v>
      </c>
      <c r="D293" s="12">
        <v>8194</v>
      </c>
      <c r="E293" s="12">
        <v>5817482</v>
      </c>
      <c r="F293" s="104">
        <v>6227</v>
      </c>
      <c r="G293" s="13">
        <f t="shared" si="131"/>
        <v>4421170</v>
      </c>
      <c r="H293" s="13">
        <f t="shared" si="132"/>
        <v>1396312</v>
      </c>
      <c r="I293" s="14">
        <f t="shared" si="133"/>
        <v>0.24001999490501216</v>
      </c>
      <c r="J293" s="11" t="s">
        <v>185</v>
      </c>
      <c r="K293" s="1"/>
    </row>
    <row r="294" spans="1:11" ht="13.5">
      <c r="A294" s="72" t="s">
        <v>166</v>
      </c>
      <c r="B294" s="11" t="s">
        <v>186</v>
      </c>
      <c r="C294" s="12">
        <v>20</v>
      </c>
      <c r="D294" s="12">
        <v>13213</v>
      </c>
      <c r="E294" s="12">
        <v>264255</v>
      </c>
      <c r="F294" s="104">
        <v>12618</v>
      </c>
      <c r="G294" s="13">
        <f t="shared" si="131"/>
        <v>252360</v>
      </c>
      <c r="H294" s="13">
        <f t="shared" si="132"/>
        <v>11895</v>
      </c>
      <c r="I294" s="14">
        <f t="shared" si="133"/>
        <v>4.5013339388091052E-2</v>
      </c>
      <c r="J294" s="11" t="s">
        <v>185</v>
      </c>
      <c r="K294" s="1"/>
    </row>
    <row r="295" spans="1:11" ht="13.5">
      <c r="A295" s="72" t="s">
        <v>166</v>
      </c>
      <c r="B295" s="11" t="s">
        <v>187</v>
      </c>
      <c r="C295" s="12">
        <v>80</v>
      </c>
      <c r="D295" s="12">
        <v>13330</v>
      </c>
      <c r="E295" s="12">
        <v>1066400</v>
      </c>
      <c r="F295" s="104">
        <v>12730</v>
      </c>
      <c r="G295" s="13">
        <f t="shared" si="131"/>
        <v>1018400</v>
      </c>
      <c r="H295" s="13">
        <f t="shared" si="132"/>
        <v>48000</v>
      </c>
      <c r="I295" s="14">
        <f t="shared" si="133"/>
        <v>4.5011252813203298E-2</v>
      </c>
      <c r="J295" s="11" t="s">
        <v>185</v>
      </c>
      <c r="K295" s="1"/>
    </row>
    <row r="296" spans="1:11" ht="13.5">
      <c r="A296" s="72" t="s">
        <v>166</v>
      </c>
      <c r="B296" s="11" t="s">
        <v>188</v>
      </c>
      <c r="C296" s="12">
        <v>20</v>
      </c>
      <c r="D296" s="12">
        <v>13330</v>
      </c>
      <c r="E296" s="12">
        <v>266600</v>
      </c>
      <c r="F296" s="104">
        <v>12730</v>
      </c>
      <c r="G296" s="13">
        <f t="shared" si="131"/>
        <v>254600</v>
      </c>
      <c r="H296" s="13">
        <f t="shared" si="132"/>
        <v>12000</v>
      </c>
      <c r="I296" s="14">
        <f t="shared" si="133"/>
        <v>4.5011252813203298E-2</v>
      </c>
      <c r="J296" s="11" t="s">
        <v>185</v>
      </c>
      <c r="K296" s="1"/>
    </row>
    <row r="297" spans="1:11" ht="13.5">
      <c r="A297" s="68" t="s">
        <v>166</v>
      </c>
      <c r="B297" s="17" t="s">
        <v>60</v>
      </c>
      <c r="C297" s="18">
        <v>5</v>
      </c>
      <c r="D297" s="18">
        <v>99555</v>
      </c>
      <c r="E297" s="100">
        <v>497773</v>
      </c>
      <c r="F297" s="101">
        <v>95075</v>
      </c>
      <c r="G297" s="140">
        <f t="shared" si="131"/>
        <v>475375</v>
      </c>
      <c r="H297" s="140">
        <f t="shared" si="132"/>
        <v>22398</v>
      </c>
      <c r="I297" s="20">
        <f t="shared" si="133"/>
        <v>4.4996414028081071E-2</v>
      </c>
      <c r="J297" s="17" t="s">
        <v>185</v>
      </c>
      <c r="K297" s="1"/>
    </row>
    <row r="298" spans="1:11" ht="13.5">
      <c r="A298" s="150" t="s">
        <v>108</v>
      </c>
      <c r="B298" s="151"/>
      <c r="C298" s="22">
        <v>4268</v>
      </c>
      <c r="D298" s="22">
        <v>357385</v>
      </c>
      <c r="E298" s="22">
        <v>29132437</v>
      </c>
      <c r="F298" s="33"/>
      <c r="G298" s="33">
        <v>24962905</v>
      </c>
      <c r="H298" s="33">
        <f t="shared" si="132"/>
        <v>4169532</v>
      </c>
      <c r="I298" s="55">
        <f t="shared" si="133"/>
        <v>0.14312335078592978</v>
      </c>
      <c r="J298" s="21" t="s">
        <v>189</v>
      </c>
      <c r="K298" s="1" t="s">
        <v>326</v>
      </c>
    </row>
    <row r="299" spans="1:11" ht="13.5">
      <c r="A299" s="26" t="s">
        <v>111</v>
      </c>
      <c r="B299" s="27" t="s">
        <v>61</v>
      </c>
      <c r="C299" s="28">
        <v>1</v>
      </c>
      <c r="D299" s="94">
        <v>26000000</v>
      </c>
      <c r="E299" s="94">
        <v>26000000</v>
      </c>
      <c r="F299" s="95">
        <v>20600000</v>
      </c>
      <c r="G299" s="139">
        <f t="shared" ref="G299" si="134">C299*F299</f>
        <v>20600000</v>
      </c>
      <c r="H299" s="139">
        <f t="shared" ref="H299" si="135">E299-G299</f>
        <v>5400000</v>
      </c>
      <c r="I299" s="141">
        <f t="shared" ref="I299" si="136">H299/E299</f>
        <v>0.2076923076923077</v>
      </c>
      <c r="J299" s="27" t="s">
        <v>185</v>
      </c>
      <c r="K299" s="1"/>
    </row>
    <row r="300" spans="1:11" ht="13.5">
      <c r="A300" s="60" t="s">
        <v>111</v>
      </c>
      <c r="B300" s="11" t="s">
        <v>60</v>
      </c>
      <c r="C300" s="12">
        <v>5</v>
      </c>
      <c r="D300" s="12">
        <v>99555</v>
      </c>
      <c r="E300" s="12">
        <v>497773</v>
      </c>
      <c r="F300" s="104">
        <v>95075</v>
      </c>
      <c r="G300" s="13">
        <f t="shared" ref="G300:G318" si="137">C300*F300</f>
        <v>475375</v>
      </c>
      <c r="H300" s="13">
        <f t="shared" ref="H300:H319" si="138">E300-G300</f>
        <v>22398</v>
      </c>
      <c r="I300" s="14">
        <f t="shared" ref="I300:I319" si="139">H300/E300</f>
        <v>4.4996414028081071E-2</v>
      </c>
      <c r="J300" s="11" t="s">
        <v>185</v>
      </c>
      <c r="K300" s="1"/>
    </row>
    <row r="301" spans="1:11" ht="13.5">
      <c r="A301" s="60" t="s">
        <v>111</v>
      </c>
      <c r="B301" s="11" t="s">
        <v>1</v>
      </c>
      <c r="C301" s="12">
        <v>600</v>
      </c>
      <c r="D301" s="12">
        <v>4964</v>
      </c>
      <c r="E301" s="12">
        <v>2978182</v>
      </c>
      <c r="F301" s="104">
        <v>3860</v>
      </c>
      <c r="G301" s="13">
        <f t="shared" si="137"/>
        <v>2316000</v>
      </c>
      <c r="H301" s="13">
        <f t="shared" si="138"/>
        <v>662182</v>
      </c>
      <c r="I301" s="14">
        <f t="shared" si="139"/>
        <v>0.22234436982024605</v>
      </c>
      <c r="J301" s="11" t="s">
        <v>185</v>
      </c>
      <c r="K301" s="1"/>
    </row>
    <row r="302" spans="1:11" ht="13.5">
      <c r="A302" s="60" t="s">
        <v>111</v>
      </c>
      <c r="B302" s="11" t="s">
        <v>135</v>
      </c>
      <c r="C302" s="12">
        <v>440</v>
      </c>
      <c r="D302" s="12">
        <v>8194</v>
      </c>
      <c r="E302" s="12">
        <v>3605200</v>
      </c>
      <c r="F302" s="104">
        <v>6227</v>
      </c>
      <c r="G302" s="13">
        <f t="shared" si="137"/>
        <v>2739880</v>
      </c>
      <c r="H302" s="13">
        <f t="shared" si="138"/>
        <v>865320</v>
      </c>
      <c r="I302" s="14">
        <f t="shared" si="139"/>
        <v>0.24001997115277932</v>
      </c>
      <c r="J302" s="11" t="s">
        <v>185</v>
      </c>
      <c r="K302" s="1"/>
    </row>
    <row r="303" spans="1:11" ht="13.5">
      <c r="A303" s="60" t="s">
        <v>111</v>
      </c>
      <c r="B303" s="11" t="s">
        <v>12</v>
      </c>
      <c r="C303" s="12">
        <v>900</v>
      </c>
      <c r="D303" s="12">
        <v>500</v>
      </c>
      <c r="E303" s="12">
        <v>450000</v>
      </c>
      <c r="F303" s="104">
        <v>435</v>
      </c>
      <c r="G303" s="13">
        <f t="shared" si="137"/>
        <v>391500</v>
      </c>
      <c r="H303" s="13">
        <f t="shared" si="138"/>
        <v>58500</v>
      </c>
      <c r="I303" s="14">
        <f t="shared" si="139"/>
        <v>0.13</v>
      </c>
      <c r="J303" s="11" t="s">
        <v>185</v>
      </c>
      <c r="K303" s="1"/>
    </row>
    <row r="304" spans="1:11" ht="13.5">
      <c r="A304" s="60" t="s">
        <v>111</v>
      </c>
      <c r="B304" s="11" t="s">
        <v>52</v>
      </c>
      <c r="C304" s="12">
        <v>150</v>
      </c>
      <c r="D304" s="12">
        <v>500</v>
      </c>
      <c r="E304" s="12">
        <v>75000</v>
      </c>
      <c r="F304" s="104">
        <v>435</v>
      </c>
      <c r="G304" s="13">
        <f t="shared" si="137"/>
        <v>65250</v>
      </c>
      <c r="H304" s="13">
        <f t="shared" si="138"/>
        <v>9750</v>
      </c>
      <c r="I304" s="14">
        <f t="shared" si="139"/>
        <v>0.13</v>
      </c>
      <c r="J304" s="11" t="s">
        <v>185</v>
      </c>
      <c r="K304" s="1"/>
    </row>
    <row r="305" spans="1:11" ht="13.5">
      <c r="A305" s="60" t="s">
        <v>111</v>
      </c>
      <c r="B305" s="11" t="s">
        <v>28</v>
      </c>
      <c r="C305" s="12">
        <v>140</v>
      </c>
      <c r="D305" s="12">
        <v>13400</v>
      </c>
      <c r="E305" s="12">
        <v>1876000</v>
      </c>
      <c r="F305" s="104">
        <v>14500</v>
      </c>
      <c r="G305" s="13">
        <f t="shared" si="137"/>
        <v>2030000</v>
      </c>
      <c r="H305" s="13">
        <f t="shared" si="138"/>
        <v>-154000</v>
      </c>
      <c r="I305" s="14">
        <f t="shared" si="139"/>
        <v>-8.2089552238805971E-2</v>
      </c>
      <c r="J305" s="11" t="s">
        <v>185</v>
      </c>
      <c r="K305" s="1"/>
    </row>
    <row r="306" spans="1:11" ht="13.5">
      <c r="A306" s="60" t="s">
        <v>111</v>
      </c>
      <c r="B306" s="11" t="s">
        <v>2</v>
      </c>
      <c r="C306" s="12">
        <v>120</v>
      </c>
      <c r="D306" s="12">
        <v>14400</v>
      </c>
      <c r="E306" s="12">
        <v>1728000</v>
      </c>
      <c r="F306" s="104">
        <v>14500</v>
      </c>
      <c r="G306" s="13">
        <f t="shared" si="137"/>
        <v>1740000</v>
      </c>
      <c r="H306" s="13">
        <f t="shared" si="138"/>
        <v>-12000</v>
      </c>
      <c r="I306" s="14">
        <f t="shared" si="139"/>
        <v>-6.9444444444444441E-3</v>
      </c>
      <c r="J306" s="11" t="s">
        <v>185</v>
      </c>
      <c r="K306" s="1"/>
    </row>
    <row r="307" spans="1:11" ht="13.5">
      <c r="A307" s="60" t="s">
        <v>111</v>
      </c>
      <c r="B307" s="11" t="s">
        <v>10</v>
      </c>
      <c r="C307" s="12">
        <v>80</v>
      </c>
      <c r="D307" s="12">
        <v>15400</v>
      </c>
      <c r="E307" s="12">
        <v>1232000</v>
      </c>
      <c r="F307" s="104">
        <v>14500</v>
      </c>
      <c r="G307" s="13">
        <f t="shared" si="137"/>
        <v>1160000</v>
      </c>
      <c r="H307" s="13">
        <f t="shared" si="138"/>
        <v>72000</v>
      </c>
      <c r="I307" s="14">
        <f t="shared" si="139"/>
        <v>5.844155844155844E-2</v>
      </c>
      <c r="J307" s="11" t="s">
        <v>185</v>
      </c>
      <c r="K307" s="1"/>
    </row>
    <row r="308" spans="1:11" ht="13.5">
      <c r="A308" s="60" t="s">
        <v>111</v>
      </c>
      <c r="B308" s="11" t="s">
        <v>58</v>
      </c>
      <c r="C308" s="12">
        <v>20</v>
      </c>
      <c r="D308" s="12">
        <v>15000</v>
      </c>
      <c r="E308" s="12">
        <v>300000</v>
      </c>
      <c r="F308" s="104">
        <v>14500</v>
      </c>
      <c r="G308" s="13">
        <f t="shared" si="137"/>
        <v>290000</v>
      </c>
      <c r="H308" s="13">
        <f t="shared" si="138"/>
        <v>10000</v>
      </c>
      <c r="I308" s="14">
        <f t="shared" si="139"/>
        <v>3.3333333333333333E-2</v>
      </c>
      <c r="J308" s="11" t="s">
        <v>185</v>
      </c>
      <c r="K308" s="1"/>
    </row>
    <row r="309" spans="1:11" ht="13.5">
      <c r="A309" s="60" t="s">
        <v>111</v>
      </c>
      <c r="B309" s="11" t="s">
        <v>29</v>
      </c>
      <c r="C309" s="12">
        <v>50</v>
      </c>
      <c r="D309" s="12">
        <v>7600</v>
      </c>
      <c r="E309" s="12">
        <v>380000</v>
      </c>
      <c r="F309" s="104">
        <v>6000</v>
      </c>
      <c r="G309" s="13">
        <f t="shared" si="137"/>
        <v>300000</v>
      </c>
      <c r="H309" s="13">
        <f t="shared" si="138"/>
        <v>80000</v>
      </c>
      <c r="I309" s="14">
        <f t="shared" si="139"/>
        <v>0.21052631578947367</v>
      </c>
      <c r="J309" s="11" t="s">
        <v>185</v>
      </c>
      <c r="K309" s="1"/>
    </row>
    <row r="310" spans="1:11" ht="13.5">
      <c r="A310" s="60" t="s">
        <v>111</v>
      </c>
      <c r="B310" s="11" t="s">
        <v>3</v>
      </c>
      <c r="C310" s="12">
        <v>550</v>
      </c>
      <c r="D310" s="12">
        <v>6600</v>
      </c>
      <c r="E310" s="12">
        <f>C310*D310</f>
        <v>3630000</v>
      </c>
      <c r="F310" s="104">
        <v>5000</v>
      </c>
      <c r="G310" s="13">
        <f t="shared" si="137"/>
        <v>2750000</v>
      </c>
      <c r="H310" s="13">
        <f t="shared" si="138"/>
        <v>880000</v>
      </c>
      <c r="I310" s="14">
        <f t="shared" si="139"/>
        <v>0.24242424242424243</v>
      </c>
      <c r="J310" s="11" t="s">
        <v>185</v>
      </c>
      <c r="K310" s="1"/>
    </row>
    <row r="311" spans="1:11" ht="13.5">
      <c r="A311" s="60" t="s">
        <v>111</v>
      </c>
      <c r="B311" s="11" t="s">
        <v>59</v>
      </c>
      <c r="C311" s="12">
        <v>60</v>
      </c>
      <c r="D311" s="12">
        <v>18400</v>
      </c>
      <c r="E311" s="12">
        <v>1104000</v>
      </c>
      <c r="F311" s="104">
        <v>15500</v>
      </c>
      <c r="G311" s="13">
        <f t="shared" si="137"/>
        <v>930000</v>
      </c>
      <c r="H311" s="13">
        <f t="shared" si="138"/>
        <v>174000</v>
      </c>
      <c r="I311" s="14">
        <f t="shared" si="139"/>
        <v>0.15760869565217392</v>
      </c>
      <c r="J311" s="11" t="s">
        <v>185</v>
      </c>
      <c r="K311" s="1"/>
    </row>
    <row r="312" spans="1:11" ht="13.5">
      <c r="A312" s="60" t="s">
        <v>111</v>
      </c>
      <c r="B312" s="11" t="s">
        <v>105</v>
      </c>
      <c r="C312" s="12">
        <v>16</v>
      </c>
      <c r="D312" s="12">
        <v>28000</v>
      </c>
      <c r="E312" s="12">
        <v>448000</v>
      </c>
      <c r="F312" s="104">
        <v>16000</v>
      </c>
      <c r="G312" s="13">
        <f t="shared" si="137"/>
        <v>256000</v>
      </c>
      <c r="H312" s="13">
        <f t="shared" si="138"/>
        <v>192000</v>
      </c>
      <c r="I312" s="14">
        <f t="shared" si="139"/>
        <v>0.42857142857142855</v>
      </c>
      <c r="J312" s="11" t="s">
        <v>185</v>
      </c>
      <c r="K312" s="1"/>
    </row>
    <row r="313" spans="1:11" ht="13.5">
      <c r="A313" s="16" t="s">
        <v>111</v>
      </c>
      <c r="B313" s="17" t="s">
        <v>6</v>
      </c>
      <c r="C313" s="18">
        <v>6</v>
      </c>
      <c r="D313" s="100">
        <v>68000</v>
      </c>
      <c r="E313" s="100">
        <v>408000</v>
      </c>
      <c r="F313" s="101">
        <v>55000</v>
      </c>
      <c r="G313" s="140">
        <f t="shared" si="137"/>
        <v>330000</v>
      </c>
      <c r="H313" s="140">
        <f t="shared" si="138"/>
        <v>78000</v>
      </c>
      <c r="I313" s="142">
        <f t="shared" si="139"/>
        <v>0.19117647058823528</v>
      </c>
      <c r="J313" s="17" t="s">
        <v>185</v>
      </c>
      <c r="K313" s="1"/>
    </row>
    <row r="314" spans="1:11" ht="13.5">
      <c r="A314" s="150" t="s">
        <v>116</v>
      </c>
      <c r="B314" s="151"/>
      <c r="C314" s="22">
        <v>3238</v>
      </c>
      <c r="D314" s="22">
        <v>26307112</v>
      </c>
      <c r="E314" s="22">
        <v>44712155</v>
      </c>
      <c r="F314" s="33"/>
      <c r="G314" s="24">
        <v>36374005</v>
      </c>
      <c r="H314" s="24">
        <f t="shared" si="138"/>
        <v>8338150</v>
      </c>
      <c r="I314" s="25">
        <f t="shared" si="139"/>
        <v>0.1864850844250294</v>
      </c>
      <c r="J314" s="21" t="s">
        <v>189</v>
      </c>
      <c r="K314" s="1" t="s">
        <v>326</v>
      </c>
    </row>
    <row r="315" spans="1:11" ht="13.5">
      <c r="A315" s="68" t="s">
        <v>51</v>
      </c>
      <c r="B315" s="69" t="s">
        <v>190</v>
      </c>
      <c r="C315" s="70">
        <v>698</v>
      </c>
      <c r="D315" s="70">
        <f>E315/C315</f>
        <v>11022.726361031519</v>
      </c>
      <c r="E315" s="70">
        <v>7693863</v>
      </c>
      <c r="F315" s="32">
        <v>8928</v>
      </c>
      <c r="G315" s="29">
        <f t="shared" si="137"/>
        <v>6231744</v>
      </c>
      <c r="H315" s="29">
        <f>E315-G315</f>
        <v>1462119</v>
      </c>
      <c r="I315" s="30">
        <f t="shared" si="139"/>
        <v>0.19003704640958644</v>
      </c>
      <c r="J315" s="71" t="s">
        <v>191</v>
      </c>
      <c r="K315" s="1"/>
    </row>
    <row r="316" spans="1:11" ht="13.5">
      <c r="A316" s="72" t="s">
        <v>51</v>
      </c>
      <c r="B316" s="73" t="s">
        <v>44</v>
      </c>
      <c r="C316" s="116">
        <v>1940</v>
      </c>
      <c r="D316" s="116">
        <f>E316/C316</f>
        <v>4963.6360824742269</v>
      </c>
      <c r="E316" s="116">
        <v>9629454</v>
      </c>
      <c r="F316" s="6">
        <v>3600</v>
      </c>
      <c r="G316" s="13">
        <f t="shared" si="137"/>
        <v>6984000</v>
      </c>
      <c r="H316" s="13">
        <f t="shared" si="138"/>
        <v>2645454</v>
      </c>
      <c r="I316" s="14">
        <f t="shared" si="139"/>
        <v>0.27472523364253049</v>
      </c>
      <c r="J316" s="5" t="s">
        <v>191</v>
      </c>
      <c r="K316" s="1"/>
    </row>
    <row r="317" spans="1:11" ht="13.5">
      <c r="A317" s="72" t="s">
        <v>51</v>
      </c>
      <c r="B317" s="73" t="s">
        <v>192</v>
      </c>
      <c r="C317" s="116">
        <v>40</v>
      </c>
      <c r="D317" s="116">
        <f>E317/C317</f>
        <v>94000</v>
      </c>
      <c r="E317" s="116">
        <v>3760000</v>
      </c>
      <c r="F317" s="6">
        <v>65800</v>
      </c>
      <c r="G317" s="13">
        <f t="shared" si="137"/>
        <v>2632000</v>
      </c>
      <c r="H317" s="13">
        <f t="shared" si="138"/>
        <v>1128000</v>
      </c>
      <c r="I317" s="14">
        <f t="shared" si="139"/>
        <v>0.3</v>
      </c>
      <c r="J317" s="5" t="s">
        <v>191</v>
      </c>
      <c r="K317" s="1"/>
    </row>
    <row r="318" spans="1:11" ht="13.5">
      <c r="A318" s="68" t="s">
        <v>51</v>
      </c>
      <c r="B318" s="75" t="s">
        <v>193</v>
      </c>
      <c r="C318" s="117">
        <v>17</v>
      </c>
      <c r="D318" s="117">
        <f>E318/C318</f>
        <v>10454.529411764706</v>
      </c>
      <c r="E318" s="117">
        <v>177727</v>
      </c>
      <c r="F318" s="32">
        <v>7727</v>
      </c>
      <c r="G318" s="19">
        <f t="shared" si="137"/>
        <v>131359</v>
      </c>
      <c r="H318" s="19">
        <f t="shared" si="138"/>
        <v>46368</v>
      </c>
      <c r="I318" s="20">
        <f t="shared" si="139"/>
        <v>0.26089451799670282</v>
      </c>
      <c r="J318" s="71" t="s">
        <v>191</v>
      </c>
      <c r="K318" s="1"/>
    </row>
    <row r="319" spans="1:11" ht="13.5">
      <c r="A319" s="150" t="s">
        <v>194</v>
      </c>
      <c r="B319" s="151"/>
      <c r="C319" s="22">
        <v>2695</v>
      </c>
      <c r="D319" s="22"/>
      <c r="E319" s="22">
        <v>21261044</v>
      </c>
      <c r="F319" s="24"/>
      <c r="G319" s="24">
        <v>15979103</v>
      </c>
      <c r="H319" s="24">
        <f t="shared" si="138"/>
        <v>5281941</v>
      </c>
      <c r="I319" s="25">
        <f t="shared" si="139"/>
        <v>0.24843281449396371</v>
      </c>
      <c r="J319" s="57" t="s">
        <v>195</v>
      </c>
      <c r="K319" s="1" t="s">
        <v>322</v>
      </c>
    </row>
    <row r="320" spans="1:11" ht="13.5">
      <c r="A320" s="68" t="s">
        <v>63</v>
      </c>
      <c r="B320" s="69" t="s">
        <v>190</v>
      </c>
      <c r="C320" s="70">
        <v>650</v>
      </c>
      <c r="D320" s="70">
        <f>E320/C320</f>
        <v>11022.727692307692</v>
      </c>
      <c r="E320" s="70">
        <v>7164773</v>
      </c>
      <c r="F320" s="32">
        <v>8928</v>
      </c>
      <c r="G320" s="29">
        <f t="shared" ref="G320:G381" si="140">C320*F320</f>
        <v>5803200</v>
      </c>
      <c r="H320" s="29">
        <f t="shared" ref="H320:H382" si="141">E320-G320</f>
        <v>1361573</v>
      </c>
      <c r="I320" s="30">
        <f t="shared" ref="I320:I382" si="142">H320/E320</f>
        <v>0.19003714423332044</v>
      </c>
      <c r="J320" s="71" t="s">
        <v>191</v>
      </c>
      <c r="K320" s="1"/>
    </row>
    <row r="321" spans="1:11" ht="13.5">
      <c r="A321" s="72" t="s">
        <v>63</v>
      </c>
      <c r="B321" s="73" t="s">
        <v>44</v>
      </c>
      <c r="C321" s="74">
        <v>1440</v>
      </c>
      <c r="D321" s="70">
        <f>E321/C321</f>
        <v>4963.6361111111109</v>
      </c>
      <c r="E321" s="74">
        <v>7147636</v>
      </c>
      <c r="F321" s="6">
        <v>3600</v>
      </c>
      <c r="G321" s="13">
        <f t="shared" si="140"/>
        <v>5184000</v>
      </c>
      <c r="H321" s="13">
        <f t="shared" si="141"/>
        <v>1963636</v>
      </c>
      <c r="I321" s="14">
        <f t="shared" si="142"/>
        <v>0.27472523782688429</v>
      </c>
      <c r="J321" s="5" t="s">
        <v>191</v>
      </c>
      <c r="K321" s="1"/>
    </row>
    <row r="322" spans="1:11" ht="13.5">
      <c r="A322" s="72" t="s">
        <v>63</v>
      </c>
      <c r="B322" s="73" t="s">
        <v>192</v>
      </c>
      <c r="C322" s="74">
        <v>60</v>
      </c>
      <c r="D322" s="70">
        <f>E322/C322</f>
        <v>94000</v>
      </c>
      <c r="E322" s="74">
        <v>5640000</v>
      </c>
      <c r="F322" s="6">
        <v>65800</v>
      </c>
      <c r="G322" s="13">
        <f t="shared" si="140"/>
        <v>3948000</v>
      </c>
      <c r="H322" s="13">
        <f t="shared" si="141"/>
        <v>1692000</v>
      </c>
      <c r="I322" s="14">
        <f t="shared" si="142"/>
        <v>0.3</v>
      </c>
      <c r="J322" s="5" t="s">
        <v>191</v>
      </c>
      <c r="K322" s="1"/>
    </row>
    <row r="323" spans="1:11" ht="13.5">
      <c r="A323" s="68" t="s">
        <v>63</v>
      </c>
      <c r="B323" s="75" t="s">
        <v>193</v>
      </c>
      <c r="C323" s="76">
        <v>30</v>
      </c>
      <c r="D323" s="79">
        <f>E323/C323</f>
        <v>10454.533333333333</v>
      </c>
      <c r="E323" s="76">
        <v>313636</v>
      </c>
      <c r="F323" s="32">
        <v>7727</v>
      </c>
      <c r="G323" s="19">
        <f t="shared" si="140"/>
        <v>231810</v>
      </c>
      <c r="H323" s="19">
        <f t="shared" si="141"/>
        <v>81826</v>
      </c>
      <c r="I323" s="20">
        <f t="shared" si="142"/>
        <v>0.26089479524034231</v>
      </c>
      <c r="J323" s="71" t="s">
        <v>191</v>
      </c>
      <c r="K323" s="1"/>
    </row>
    <row r="324" spans="1:11" ht="13.5">
      <c r="A324" s="150" t="s">
        <v>116</v>
      </c>
      <c r="B324" s="151"/>
      <c r="C324" s="22">
        <v>2180</v>
      </c>
      <c r="D324" s="22"/>
      <c r="E324" s="22">
        <v>20266045</v>
      </c>
      <c r="F324" s="24"/>
      <c r="G324" s="24">
        <f>SUBTOTAL(9,G320:G323)</f>
        <v>15167010</v>
      </c>
      <c r="H324" s="24">
        <f t="shared" si="141"/>
        <v>5099035</v>
      </c>
      <c r="I324" s="25">
        <f t="shared" si="142"/>
        <v>0.2516048395234492</v>
      </c>
      <c r="J324" s="57" t="s">
        <v>195</v>
      </c>
      <c r="K324" s="1" t="s">
        <v>322</v>
      </c>
    </row>
    <row r="325" spans="1:11" ht="25.5">
      <c r="A325" s="68" t="s">
        <v>51</v>
      </c>
      <c r="B325" s="27" t="s">
        <v>155</v>
      </c>
      <c r="C325" s="28">
        <v>80</v>
      </c>
      <c r="D325" s="28">
        <v>108115</v>
      </c>
      <c r="E325" s="94">
        <v>8649164</v>
      </c>
      <c r="F325" s="95">
        <v>54060</v>
      </c>
      <c r="G325" s="139">
        <f t="shared" si="140"/>
        <v>4324800</v>
      </c>
      <c r="H325" s="139">
        <f t="shared" si="141"/>
        <v>4324364</v>
      </c>
      <c r="I325" s="141">
        <f t="shared" si="142"/>
        <v>0.49997479525188793</v>
      </c>
      <c r="J325" s="27" t="s">
        <v>196</v>
      </c>
      <c r="K325" s="1"/>
    </row>
    <row r="326" spans="1:11" ht="13.5">
      <c r="A326" s="72" t="s">
        <v>51</v>
      </c>
      <c r="B326" s="11" t="s">
        <v>197</v>
      </c>
      <c r="C326" s="12">
        <v>690</v>
      </c>
      <c r="D326" s="12">
        <v>1450</v>
      </c>
      <c r="E326" s="12">
        <v>1000500</v>
      </c>
      <c r="F326" s="104">
        <v>1319</v>
      </c>
      <c r="G326" s="13">
        <f t="shared" si="140"/>
        <v>910110</v>
      </c>
      <c r="H326" s="13">
        <f t="shared" si="141"/>
        <v>90390</v>
      </c>
      <c r="I326" s="14">
        <f t="shared" si="142"/>
        <v>9.0344827586206891E-2</v>
      </c>
      <c r="J326" s="11" t="s">
        <v>196</v>
      </c>
      <c r="K326" s="1"/>
    </row>
    <row r="327" spans="1:11" ht="13.5">
      <c r="A327" s="72" t="s">
        <v>166</v>
      </c>
      <c r="B327" s="11" t="s">
        <v>198</v>
      </c>
      <c r="C327" s="12">
        <v>50</v>
      </c>
      <c r="D327" s="12">
        <v>1009</v>
      </c>
      <c r="E327" s="12">
        <v>50455</v>
      </c>
      <c r="F327" s="104">
        <v>918</v>
      </c>
      <c r="G327" s="13">
        <f t="shared" si="140"/>
        <v>45900</v>
      </c>
      <c r="H327" s="13">
        <f t="shared" si="141"/>
        <v>4555</v>
      </c>
      <c r="I327" s="14">
        <f t="shared" si="142"/>
        <v>9.027846595976613E-2</v>
      </c>
      <c r="J327" s="11" t="s">
        <v>196</v>
      </c>
      <c r="K327" s="1"/>
    </row>
    <row r="328" spans="1:11" ht="13.5">
      <c r="A328" s="72" t="s">
        <v>166</v>
      </c>
      <c r="B328" s="11" t="s">
        <v>199</v>
      </c>
      <c r="C328" s="12">
        <v>3</v>
      </c>
      <c r="D328" s="12">
        <v>12500</v>
      </c>
      <c r="E328" s="12">
        <v>37500</v>
      </c>
      <c r="F328" s="104">
        <v>11364</v>
      </c>
      <c r="G328" s="13">
        <f t="shared" si="140"/>
        <v>34092</v>
      </c>
      <c r="H328" s="13">
        <f t="shared" si="141"/>
        <v>3408</v>
      </c>
      <c r="I328" s="14">
        <f t="shared" si="142"/>
        <v>9.0880000000000002E-2</v>
      </c>
      <c r="J328" s="11" t="s">
        <v>196</v>
      </c>
      <c r="K328" s="1"/>
    </row>
    <row r="329" spans="1:11" ht="13.5">
      <c r="A329" s="72" t="s">
        <v>166</v>
      </c>
      <c r="B329" s="11" t="s">
        <v>200</v>
      </c>
      <c r="C329" s="12">
        <v>40</v>
      </c>
      <c r="D329" s="12">
        <v>5159</v>
      </c>
      <c r="E329" s="12">
        <v>206364</v>
      </c>
      <c r="F329" s="104">
        <v>4273</v>
      </c>
      <c r="G329" s="13">
        <f t="shared" si="140"/>
        <v>170920</v>
      </c>
      <c r="H329" s="13">
        <f t="shared" si="141"/>
        <v>35444</v>
      </c>
      <c r="I329" s="14">
        <f t="shared" si="142"/>
        <v>0.17175476342772963</v>
      </c>
      <c r="J329" s="11" t="s">
        <v>196</v>
      </c>
      <c r="K329" s="1"/>
    </row>
    <row r="330" spans="1:11" ht="13.5">
      <c r="A330" s="72" t="s">
        <v>166</v>
      </c>
      <c r="B330" s="11" t="s">
        <v>106</v>
      </c>
      <c r="C330" s="12">
        <v>240</v>
      </c>
      <c r="D330" s="12">
        <v>11003</v>
      </c>
      <c r="E330" s="12">
        <v>2640655</v>
      </c>
      <c r="F330" s="104">
        <v>8362</v>
      </c>
      <c r="G330" s="13">
        <f t="shared" si="140"/>
        <v>2006880</v>
      </c>
      <c r="H330" s="13">
        <f t="shared" si="141"/>
        <v>633775</v>
      </c>
      <c r="I330" s="14">
        <f t="shared" si="142"/>
        <v>0.24000674075182105</v>
      </c>
      <c r="J330" s="11" t="s">
        <v>196</v>
      </c>
      <c r="K330" s="1"/>
    </row>
    <row r="331" spans="1:11" ht="13.5">
      <c r="A331" s="72" t="s">
        <v>166</v>
      </c>
      <c r="B331" s="11" t="s">
        <v>201</v>
      </c>
      <c r="C331" s="12">
        <v>192</v>
      </c>
      <c r="D331" s="12">
        <v>9837</v>
      </c>
      <c r="E331" s="12">
        <v>1888756</v>
      </c>
      <c r="F331" s="104">
        <v>7476</v>
      </c>
      <c r="G331" s="13">
        <f t="shared" si="140"/>
        <v>1435392</v>
      </c>
      <c r="H331" s="13">
        <f t="shared" si="141"/>
        <v>453364</v>
      </c>
      <c r="I331" s="14">
        <f t="shared" si="142"/>
        <v>0.24003312233025334</v>
      </c>
      <c r="J331" s="11" t="s">
        <v>196</v>
      </c>
      <c r="K331" s="1"/>
    </row>
    <row r="332" spans="1:11" ht="13.5">
      <c r="A332" s="72" t="s">
        <v>166</v>
      </c>
      <c r="B332" s="11" t="s">
        <v>202</v>
      </c>
      <c r="C332" s="12">
        <v>420</v>
      </c>
      <c r="D332" s="12">
        <v>11083</v>
      </c>
      <c r="E332" s="12">
        <v>4654745</v>
      </c>
      <c r="F332" s="104">
        <v>8423</v>
      </c>
      <c r="G332" s="13">
        <f t="shared" si="140"/>
        <v>3537660</v>
      </c>
      <c r="H332" s="13">
        <f t="shared" si="141"/>
        <v>1117085</v>
      </c>
      <c r="I332" s="14">
        <f t="shared" si="142"/>
        <v>0.2399884419017583</v>
      </c>
      <c r="J332" s="11" t="s">
        <v>196</v>
      </c>
      <c r="K332" s="1"/>
    </row>
    <row r="333" spans="1:11" ht="13.5">
      <c r="A333" s="72" t="s">
        <v>166</v>
      </c>
      <c r="B333" s="73" t="s">
        <v>203</v>
      </c>
      <c r="C333" s="12">
        <v>10</v>
      </c>
      <c r="D333" s="12">
        <v>39318</v>
      </c>
      <c r="E333" s="12">
        <v>393182</v>
      </c>
      <c r="F333" s="104">
        <v>35779</v>
      </c>
      <c r="G333" s="13">
        <f t="shared" si="140"/>
        <v>357790</v>
      </c>
      <c r="H333" s="13">
        <f t="shared" si="141"/>
        <v>35392</v>
      </c>
      <c r="I333" s="14">
        <f t="shared" si="142"/>
        <v>9.0014293635008721E-2</v>
      </c>
      <c r="J333" s="11" t="s">
        <v>196</v>
      </c>
      <c r="K333" s="1"/>
    </row>
    <row r="334" spans="1:11" ht="13.5">
      <c r="A334" s="72" t="s">
        <v>166</v>
      </c>
      <c r="B334" s="11" t="s">
        <v>41</v>
      </c>
      <c r="C334" s="12">
        <v>48</v>
      </c>
      <c r="D334" s="12">
        <v>10900</v>
      </c>
      <c r="E334" s="12">
        <v>523200</v>
      </c>
      <c r="F334" s="104">
        <v>10000</v>
      </c>
      <c r="G334" s="13">
        <f t="shared" si="140"/>
        <v>480000</v>
      </c>
      <c r="H334" s="13">
        <f t="shared" si="141"/>
        <v>43200</v>
      </c>
      <c r="I334" s="14">
        <f t="shared" si="142"/>
        <v>8.2568807339449546E-2</v>
      </c>
      <c r="J334" s="11" t="s">
        <v>196</v>
      </c>
      <c r="K334" s="1"/>
    </row>
    <row r="335" spans="1:11" ht="13.5">
      <c r="A335" s="72" t="s">
        <v>166</v>
      </c>
      <c r="B335" s="11" t="s">
        <v>204</v>
      </c>
      <c r="C335" s="12">
        <v>9</v>
      </c>
      <c r="D335" s="12">
        <v>12527</v>
      </c>
      <c r="E335" s="12">
        <v>112745</v>
      </c>
      <c r="F335" s="104">
        <f>11033/1.1</f>
        <v>10030</v>
      </c>
      <c r="G335" s="13">
        <f t="shared" si="140"/>
        <v>90270</v>
      </c>
      <c r="H335" s="13">
        <f t="shared" si="141"/>
        <v>22475</v>
      </c>
      <c r="I335" s="14">
        <f t="shared" si="142"/>
        <v>0.1993436516031753</v>
      </c>
      <c r="J335" s="11" t="s">
        <v>196</v>
      </c>
      <c r="K335" s="1"/>
    </row>
    <row r="336" spans="1:11" ht="13.5">
      <c r="A336" s="72" t="s">
        <v>166</v>
      </c>
      <c r="B336" s="11" t="s">
        <v>205</v>
      </c>
      <c r="C336" s="12">
        <v>2</v>
      </c>
      <c r="D336" s="12">
        <v>15818</v>
      </c>
      <c r="E336" s="12">
        <v>31636</v>
      </c>
      <c r="F336" s="104">
        <f>16182/1.1</f>
        <v>14710.90909090909</v>
      </c>
      <c r="G336" s="13">
        <f t="shared" si="140"/>
        <v>29421.81818181818</v>
      </c>
      <c r="H336" s="13">
        <f t="shared" si="141"/>
        <v>2214.1818181818198</v>
      </c>
      <c r="I336" s="14">
        <f t="shared" si="142"/>
        <v>6.9989310221956633E-2</v>
      </c>
      <c r="J336" s="11" t="s">
        <v>196</v>
      </c>
      <c r="K336" s="1"/>
    </row>
    <row r="337" spans="1:11" ht="13.5">
      <c r="A337" s="72" t="s">
        <v>166</v>
      </c>
      <c r="B337" s="11" t="s">
        <v>206</v>
      </c>
      <c r="C337" s="12">
        <v>5</v>
      </c>
      <c r="D337" s="12">
        <v>118427</v>
      </c>
      <c r="E337" s="12">
        <v>592136</v>
      </c>
      <c r="F337" s="104">
        <f>125059/1.1</f>
        <v>113689.99999999999</v>
      </c>
      <c r="G337" s="13">
        <f t="shared" si="140"/>
        <v>568449.99999999988</v>
      </c>
      <c r="H337" s="13">
        <f t="shared" si="141"/>
        <v>23686.000000000116</v>
      </c>
      <c r="I337" s="14">
        <f t="shared" si="142"/>
        <v>4.0000945728684151E-2</v>
      </c>
      <c r="J337" s="11" t="s">
        <v>196</v>
      </c>
      <c r="K337" s="1"/>
    </row>
    <row r="338" spans="1:11" ht="13.5">
      <c r="A338" s="72" t="s">
        <v>166</v>
      </c>
      <c r="B338" s="11" t="s">
        <v>207</v>
      </c>
      <c r="C338" s="12">
        <v>1</v>
      </c>
      <c r="D338" s="12">
        <v>8291</v>
      </c>
      <c r="E338" s="12">
        <v>8291</v>
      </c>
      <c r="F338" s="104">
        <f>8400/1.1</f>
        <v>7636.363636363636</v>
      </c>
      <c r="G338" s="13">
        <f t="shared" si="140"/>
        <v>7636.363636363636</v>
      </c>
      <c r="H338" s="13">
        <f t="shared" si="141"/>
        <v>654.63636363636397</v>
      </c>
      <c r="I338" s="14">
        <f t="shared" si="142"/>
        <v>7.895746757162754E-2</v>
      </c>
      <c r="J338" s="11" t="s">
        <v>196</v>
      </c>
      <c r="K338" s="1"/>
    </row>
    <row r="339" spans="1:11" ht="13.5">
      <c r="A339" s="68" t="s">
        <v>166</v>
      </c>
      <c r="B339" s="17" t="s">
        <v>208</v>
      </c>
      <c r="C339" s="18">
        <v>1</v>
      </c>
      <c r="D339" s="18">
        <v>71000</v>
      </c>
      <c r="E339" s="100">
        <v>71000</v>
      </c>
      <c r="F339" s="101">
        <v>67450</v>
      </c>
      <c r="G339" s="140">
        <f t="shared" si="140"/>
        <v>67450</v>
      </c>
      <c r="H339" s="140">
        <f t="shared" si="141"/>
        <v>3550</v>
      </c>
      <c r="I339" s="142">
        <f t="shared" si="142"/>
        <v>0.05</v>
      </c>
      <c r="J339" s="17" t="s">
        <v>196</v>
      </c>
      <c r="K339" s="1"/>
    </row>
    <row r="340" spans="1:11" ht="13.5">
      <c r="A340" s="150" t="s">
        <v>108</v>
      </c>
      <c r="B340" s="151"/>
      <c r="C340" s="22">
        <v>1790</v>
      </c>
      <c r="D340" s="22">
        <v>437887</v>
      </c>
      <c r="E340" s="22">
        <v>20860329</v>
      </c>
      <c r="F340" s="33"/>
      <c r="G340" s="24">
        <v>14066772.181818182</v>
      </c>
      <c r="H340" s="24">
        <f t="shared" si="141"/>
        <v>6793556.8181818184</v>
      </c>
      <c r="I340" s="25">
        <f t="shared" si="142"/>
        <v>0.3256687283398943</v>
      </c>
      <c r="J340" s="21" t="s">
        <v>209</v>
      </c>
      <c r="K340" s="1" t="s">
        <v>322</v>
      </c>
    </row>
    <row r="341" spans="1:11" ht="13.5">
      <c r="A341" s="68" t="s">
        <v>63</v>
      </c>
      <c r="B341" s="69" t="s">
        <v>155</v>
      </c>
      <c r="C341" s="28">
        <v>50</v>
      </c>
      <c r="D341" s="28">
        <v>108115</v>
      </c>
      <c r="E341" s="28">
        <v>5405727</v>
      </c>
      <c r="F341" s="32">
        <v>54060</v>
      </c>
      <c r="G341" s="29">
        <f t="shared" si="140"/>
        <v>2703000</v>
      </c>
      <c r="H341" s="29">
        <f t="shared" si="141"/>
        <v>2702727</v>
      </c>
      <c r="I341" s="30">
        <f t="shared" si="142"/>
        <v>0.49997474900230809</v>
      </c>
      <c r="J341" s="27" t="s">
        <v>196</v>
      </c>
      <c r="K341" s="1"/>
    </row>
    <row r="342" spans="1:11" ht="13.5">
      <c r="A342" s="72" t="s">
        <v>63</v>
      </c>
      <c r="B342" s="11" t="s">
        <v>197</v>
      </c>
      <c r="C342" s="12">
        <v>720</v>
      </c>
      <c r="D342" s="12">
        <v>1450</v>
      </c>
      <c r="E342" s="12">
        <v>1044000</v>
      </c>
      <c r="F342" s="6">
        <v>1319</v>
      </c>
      <c r="G342" s="13">
        <f t="shared" si="140"/>
        <v>949680</v>
      </c>
      <c r="H342" s="13">
        <f t="shared" si="141"/>
        <v>94320</v>
      </c>
      <c r="I342" s="14">
        <f t="shared" si="142"/>
        <v>9.0344827586206891E-2</v>
      </c>
      <c r="J342" s="11" t="s">
        <v>196</v>
      </c>
      <c r="K342" s="1"/>
    </row>
    <row r="343" spans="1:11" ht="13.5">
      <c r="A343" s="72" t="s">
        <v>63</v>
      </c>
      <c r="B343" s="11" t="s">
        <v>199</v>
      </c>
      <c r="C343" s="12">
        <v>2</v>
      </c>
      <c r="D343" s="12">
        <v>12500</v>
      </c>
      <c r="E343" s="12">
        <v>25000</v>
      </c>
      <c r="F343" s="6">
        <v>11364</v>
      </c>
      <c r="G343" s="13">
        <f t="shared" si="140"/>
        <v>22728</v>
      </c>
      <c r="H343" s="13">
        <f t="shared" si="141"/>
        <v>2272</v>
      </c>
      <c r="I343" s="14">
        <f t="shared" si="142"/>
        <v>9.0880000000000002E-2</v>
      </c>
      <c r="J343" s="11" t="s">
        <v>196</v>
      </c>
      <c r="K343" s="1"/>
    </row>
    <row r="344" spans="1:11" ht="13.5">
      <c r="A344" s="72" t="s">
        <v>210</v>
      </c>
      <c r="B344" s="11" t="s">
        <v>211</v>
      </c>
      <c r="C344" s="12">
        <v>1</v>
      </c>
      <c r="D344" s="12">
        <v>23136</v>
      </c>
      <c r="E344" s="12">
        <v>23136</v>
      </c>
      <c r="F344" s="6">
        <f>14000/1.1</f>
        <v>12727.272727272726</v>
      </c>
      <c r="G344" s="13">
        <f t="shared" si="140"/>
        <v>12727.272727272726</v>
      </c>
      <c r="H344" s="13">
        <f t="shared" si="141"/>
        <v>10408.727272727274</v>
      </c>
      <c r="I344" s="14">
        <f t="shared" si="142"/>
        <v>0.44989312209229226</v>
      </c>
      <c r="J344" s="11" t="s">
        <v>196</v>
      </c>
      <c r="K344" s="1"/>
    </row>
    <row r="345" spans="1:11" ht="13.5">
      <c r="A345" s="72" t="s">
        <v>210</v>
      </c>
      <c r="B345" s="11" t="s">
        <v>106</v>
      </c>
      <c r="C345" s="12">
        <v>180</v>
      </c>
      <c r="D345" s="12">
        <v>11003</v>
      </c>
      <c r="E345" s="12">
        <v>1980491</v>
      </c>
      <c r="F345" s="6">
        <v>8362</v>
      </c>
      <c r="G345" s="13">
        <f t="shared" si="140"/>
        <v>1505160</v>
      </c>
      <c r="H345" s="13">
        <f t="shared" si="141"/>
        <v>475331</v>
      </c>
      <c r="I345" s="14">
        <f t="shared" si="142"/>
        <v>0.24000664481686612</v>
      </c>
      <c r="J345" s="11" t="s">
        <v>196</v>
      </c>
      <c r="K345" s="1"/>
    </row>
    <row r="346" spans="1:11" ht="13.5">
      <c r="A346" s="72" t="s">
        <v>210</v>
      </c>
      <c r="B346" s="11" t="s">
        <v>201</v>
      </c>
      <c r="C346" s="12">
        <v>175</v>
      </c>
      <c r="D346" s="12">
        <v>9837</v>
      </c>
      <c r="E346" s="12">
        <v>1721523</v>
      </c>
      <c r="F346" s="6">
        <v>7476</v>
      </c>
      <c r="G346" s="13">
        <f t="shared" si="140"/>
        <v>1308300</v>
      </c>
      <c r="H346" s="13">
        <f t="shared" si="141"/>
        <v>413223</v>
      </c>
      <c r="I346" s="14">
        <f t="shared" si="142"/>
        <v>0.24003338903982113</v>
      </c>
      <c r="J346" s="11" t="s">
        <v>196</v>
      </c>
      <c r="K346" s="1"/>
    </row>
    <row r="347" spans="1:11" ht="13.5">
      <c r="A347" s="72" t="s">
        <v>210</v>
      </c>
      <c r="B347" s="11" t="s">
        <v>202</v>
      </c>
      <c r="C347" s="12">
        <v>320</v>
      </c>
      <c r="D347" s="12">
        <v>11083</v>
      </c>
      <c r="E347" s="12">
        <v>3546473</v>
      </c>
      <c r="F347" s="6">
        <v>8423</v>
      </c>
      <c r="G347" s="13">
        <f t="shared" si="140"/>
        <v>2695360</v>
      </c>
      <c r="H347" s="13">
        <f t="shared" si="141"/>
        <v>851113</v>
      </c>
      <c r="I347" s="14">
        <f t="shared" si="142"/>
        <v>0.23998857456408099</v>
      </c>
      <c r="J347" s="11" t="s">
        <v>196</v>
      </c>
      <c r="K347" s="1"/>
    </row>
    <row r="348" spans="1:11" ht="25.5">
      <c r="A348" s="72" t="s">
        <v>210</v>
      </c>
      <c r="B348" s="11" t="s">
        <v>203</v>
      </c>
      <c r="C348" s="12">
        <v>20</v>
      </c>
      <c r="D348" s="12">
        <v>39318</v>
      </c>
      <c r="E348" s="12">
        <v>786364</v>
      </c>
      <c r="F348" s="6">
        <v>35779</v>
      </c>
      <c r="G348" s="13">
        <f t="shared" si="140"/>
        <v>715580</v>
      </c>
      <c r="H348" s="13">
        <f t="shared" si="141"/>
        <v>70784</v>
      </c>
      <c r="I348" s="14">
        <f t="shared" si="142"/>
        <v>9.0014293635008721E-2</v>
      </c>
      <c r="J348" s="11" t="s">
        <v>196</v>
      </c>
      <c r="K348" s="1"/>
    </row>
    <row r="349" spans="1:11" ht="13.5">
      <c r="A349" s="72" t="s">
        <v>210</v>
      </c>
      <c r="B349" s="11" t="s">
        <v>212</v>
      </c>
      <c r="C349" s="12">
        <v>10</v>
      </c>
      <c r="D349" s="12">
        <v>40818</v>
      </c>
      <c r="E349" s="12">
        <v>408182</v>
      </c>
      <c r="F349" s="6">
        <f>40858/1.1</f>
        <v>37143.63636363636</v>
      </c>
      <c r="G349" s="13">
        <f t="shared" si="140"/>
        <v>371436.36363636359</v>
      </c>
      <c r="H349" s="13">
        <f t="shared" si="141"/>
        <v>36745.636363636411</v>
      </c>
      <c r="I349" s="14">
        <f t="shared" si="142"/>
        <v>9.0022677050032612E-2</v>
      </c>
      <c r="J349" s="11" t="s">
        <v>196</v>
      </c>
      <c r="K349" s="1"/>
    </row>
    <row r="350" spans="1:11" ht="13.5">
      <c r="A350" s="72" t="s">
        <v>210</v>
      </c>
      <c r="B350" s="11" t="s">
        <v>41</v>
      </c>
      <c r="C350" s="12">
        <v>48</v>
      </c>
      <c r="D350" s="12">
        <v>10900</v>
      </c>
      <c r="E350" s="12">
        <v>523200</v>
      </c>
      <c r="F350" s="6">
        <v>10000</v>
      </c>
      <c r="G350" s="13">
        <f t="shared" si="140"/>
        <v>480000</v>
      </c>
      <c r="H350" s="13">
        <f t="shared" si="141"/>
        <v>43200</v>
      </c>
      <c r="I350" s="14">
        <f t="shared" si="142"/>
        <v>8.2568807339449546E-2</v>
      </c>
      <c r="J350" s="11" t="s">
        <v>196</v>
      </c>
      <c r="K350" s="1"/>
    </row>
    <row r="351" spans="1:11" ht="13.5">
      <c r="A351" s="72" t="s">
        <v>210</v>
      </c>
      <c r="B351" s="11" t="s">
        <v>125</v>
      </c>
      <c r="C351" s="12">
        <v>10</v>
      </c>
      <c r="D351" s="12">
        <v>38846</v>
      </c>
      <c r="E351" s="12">
        <v>388464</v>
      </c>
      <c r="F351" s="6">
        <f>32902.1/1.1</f>
        <v>29910.999999999996</v>
      </c>
      <c r="G351" s="13">
        <f t="shared" si="140"/>
        <v>299109.99999999994</v>
      </c>
      <c r="H351" s="13">
        <f t="shared" si="141"/>
        <v>89354.000000000058</v>
      </c>
      <c r="I351" s="14">
        <f t="shared" si="142"/>
        <v>0.23001874047530804</v>
      </c>
      <c r="J351" s="11" t="s">
        <v>196</v>
      </c>
      <c r="K351" s="1"/>
    </row>
    <row r="352" spans="1:11" ht="13.5">
      <c r="A352" s="68" t="s">
        <v>210</v>
      </c>
      <c r="B352" s="17" t="s">
        <v>213</v>
      </c>
      <c r="C352" s="18">
        <v>1</v>
      </c>
      <c r="D352" s="18">
        <v>51818</v>
      </c>
      <c r="E352" s="18">
        <v>51818</v>
      </c>
      <c r="F352" s="32">
        <f>54150/1.1</f>
        <v>49227.272727272721</v>
      </c>
      <c r="G352" s="19">
        <f t="shared" si="140"/>
        <v>49227.272727272721</v>
      </c>
      <c r="H352" s="19">
        <f t="shared" si="141"/>
        <v>2590.7272727272793</v>
      </c>
      <c r="I352" s="20">
        <f t="shared" si="142"/>
        <v>4.9996666654970844E-2</v>
      </c>
      <c r="J352" s="17" t="s">
        <v>196</v>
      </c>
      <c r="K352" s="1"/>
    </row>
    <row r="353" spans="1:11" ht="13.5">
      <c r="A353" s="150" t="s">
        <v>116</v>
      </c>
      <c r="B353" s="151"/>
      <c r="C353" s="22">
        <v>1537</v>
      </c>
      <c r="D353" s="22">
        <v>358825</v>
      </c>
      <c r="E353" s="22">
        <v>15904378</v>
      </c>
      <c r="F353" s="33"/>
      <c r="G353" s="24">
        <v>11112308.90909091</v>
      </c>
      <c r="H353" s="24">
        <f t="shared" si="141"/>
        <v>4792069.0909090899</v>
      </c>
      <c r="I353" s="25">
        <f t="shared" si="142"/>
        <v>0.30130503003066766</v>
      </c>
      <c r="J353" s="21" t="s">
        <v>209</v>
      </c>
      <c r="K353" s="1" t="s">
        <v>322</v>
      </c>
    </row>
    <row r="354" spans="1:11" ht="13.5">
      <c r="A354" s="68" t="s">
        <v>166</v>
      </c>
      <c r="B354" s="27" t="s">
        <v>152</v>
      </c>
      <c r="C354" s="28">
        <v>20</v>
      </c>
      <c r="D354" s="28">
        <v>65329</v>
      </c>
      <c r="E354" s="28">
        <v>1306582</v>
      </c>
      <c r="F354" s="32">
        <v>33318</v>
      </c>
      <c r="G354" s="29">
        <f t="shared" si="140"/>
        <v>666360</v>
      </c>
      <c r="H354" s="29">
        <f t="shared" si="141"/>
        <v>640222</v>
      </c>
      <c r="I354" s="30">
        <f t="shared" si="142"/>
        <v>0.48999756616882828</v>
      </c>
      <c r="J354" s="27" t="s">
        <v>214</v>
      </c>
      <c r="K354" s="1"/>
    </row>
    <row r="355" spans="1:11" ht="13.5">
      <c r="A355" s="72" t="s">
        <v>166</v>
      </c>
      <c r="B355" s="11" t="s">
        <v>153</v>
      </c>
      <c r="C355" s="12">
        <v>50</v>
      </c>
      <c r="D355" s="12">
        <v>71007</v>
      </c>
      <c r="E355" s="12">
        <v>3550364</v>
      </c>
      <c r="F355" s="6">
        <v>36213</v>
      </c>
      <c r="G355" s="13">
        <f t="shared" si="140"/>
        <v>1810650</v>
      </c>
      <c r="H355" s="13">
        <f t="shared" si="141"/>
        <v>1739714</v>
      </c>
      <c r="I355" s="14">
        <f t="shared" si="142"/>
        <v>0.49001003840732948</v>
      </c>
      <c r="J355" s="11" t="s">
        <v>214</v>
      </c>
      <c r="K355" s="1"/>
    </row>
    <row r="356" spans="1:11" ht="13.5">
      <c r="A356" s="72" t="s">
        <v>166</v>
      </c>
      <c r="B356" s="11" t="s">
        <v>162</v>
      </c>
      <c r="C356" s="12">
        <v>30</v>
      </c>
      <c r="D356" s="12">
        <v>102087</v>
      </c>
      <c r="E356" s="12">
        <v>3062618</v>
      </c>
      <c r="F356" s="6">
        <v>52064</v>
      </c>
      <c r="G356" s="13">
        <f t="shared" si="140"/>
        <v>1561920</v>
      </c>
      <c r="H356" s="13">
        <f t="shared" si="141"/>
        <v>1500698</v>
      </c>
      <c r="I356" s="14">
        <f t="shared" si="142"/>
        <v>0.49000495654371523</v>
      </c>
      <c r="J356" s="11" t="s">
        <v>214</v>
      </c>
      <c r="K356" s="1"/>
    </row>
    <row r="357" spans="1:11" ht="13.5">
      <c r="A357" s="72" t="s">
        <v>166</v>
      </c>
      <c r="B357" s="11" t="s">
        <v>215</v>
      </c>
      <c r="C357" s="12">
        <v>1</v>
      </c>
      <c r="D357" s="12">
        <v>23250</v>
      </c>
      <c r="E357" s="12">
        <v>23250</v>
      </c>
      <c r="F357" s="6">
        <f>22774/1.1</f>
        <v>20703.63636363636</v>
      </c>
      <c r="G357" s="13">
        <f t="shared" si="140"/>
        <v>20703.63636363636</v>
      </c>
      <c r="H357" s="13">
        <f t="shared" si="141"/>
        <v>2546.3636363636397</v>
      </c>
      <c r="I357" s="14">
        <f t="shared" si="142"/>
        <v>0.10952101661779096</v>
      </c>
      <c r="J357" s="11" t="s">
        <v>214</v>
      </c>
      <c r="K357" s="1"/>
    </row>
    <row r="358" spans="1:11" ht="13.5">
      <c r="A358" s="72" t="s">
        <v>166</v>
      </c>
      <c r="B358" s="11" t="s">
        <v>216</v>
      </c>
      <c r="C358" s="12">
        <v>6</v>
      </c>
      <c r="D358" s="12">
        <v>71818</v>
      </c>
      <c r="E358" s="12">
        <v>430909</v>
      </c>
      <c r="F358" s="6">
        <v>61045</v>
      </c>
      <c r="G358" s="13">
        <f t="shared" si="140"/>
        <v>366270</v>
      </c>
      <c r="H358" s="13">
        <f t="shared" si="141"/>
        <v>64639</v>
      </c>
      <c r="I358" s="14">
        <f t="shared" si="142"/>
        <v>0.15000614979032695</v>
      </c>
      <c r="J358" s="11" t="s">
        <v>214</v>
      </c>
      <c r="K358" s="1"/>
    </row>
    <row r="359" spans="1:11" ht="13.5">
      <c r="A359" s="72" t="s">
        <v>166</v>
      </c>
      <c r="B359" s="11" t="s">
        <v>217</v>
      </c>
      <c r="C359" s="12">
        <v>5</v>
      </c>
      <c r="D359" s="12">
        <v>41727</v>
      </c>
      <c r="E359" s="12">
        <v>208636</v>
      </c>
      <c r="F359" s="6">
        <v>38389</v>
      </c>
      <c r="G359" s="13">
        <f t="shared" si="140"/>
        <v>191945</v>
      </c>
      <c r="H359" s="13">
        <f t="shared" si="141"/>
        <v>16691</v>
      </c>
      <c r="I359" s="14">
        <f t="shared" si="142"/>
        <v>8.0000575164401164E-2</v>
      </c>
      <c r="J359" s="11" t="s">
        <v>214</v>
      </c>
      <c r="K359" s="1"/>
    </row>
    <row r="360" spans="1:11" ht="13.5">
      <c r="A360" s="72" t="s">
        <v>166</v>
      </c>
      <c r="B360" s="11" t="s">
        <v>218</v>
      </c>
      <c r="C360" s="12">
        <v>7</v>
      </c>
      <c r="D360" s="12">
        <v>9636</v>
      </c>
      <c r="E360" s="12">
        <v>67455</v>
      </c>
      <c r="F360" s="6">
        <v>8865</v>
      </c>
      <c r="G360" s="13">
        <f t="shared" si="140"/>
        <v>62055</v>
      </c>
      <c r="H360" s="13">
        <f t="shared" si="141"/>
        <v>5400</v>
      </c>
      <c r="I360" s="14">
        <f t="shared" si="142"/>
        <v>8.0053368912608405E-2</v>
      </c>
      <c r="J360" s="11" t="s">
        <v>214</v>
      </c>
      <c r="K360" s="1"/>
    </row>
    <row r="361" spans="1:11" ht="13.5">
      <c r="A361" s="72" t="s">
        <v>166</v>
      </c>
      <c r="B361" s="11" t="s">
        <v>219</v>
      </c>
      <c r="C361" s="12">
        <v>10</v>
      </c>
      <c r="D361" s="12">
        <v>19218</v>
      </c>
      <c r="E361" s="12">
        <v>192182</v>
      </c>
      <c r="F361" s="6">
        <v>18065</v>
      </c>
      <c r="G361" s="13">
        <f t="shared" si="140"/>
        <v>180650</v>
      </c>
      <c r="H361" s="13">
        <f t="shared" si="141"/>
        <v>11532</v>
      </c>
      <c r="I361" s="14">
        <f t="shared" si="142"/>
        <v>6.0005619673018283E-2</v>
      </c>
      <c r="J361" s="11" t="s">
        <v>214</v>
      </c>
      <c r="K361" s="1"/>
    </row>
    <row r="362" spans="1:11" ht="13.5">
      <c r="A362" s="72" t="s">
        <v>166</v>
      </c>
      <c r="B362" s="11" t="s">
        <v>220</v>
      </c>
      <c r="C362" s="12">
        <v>3</v>
      </c>
      <c r="D362" s="12">
        <v>48636</v>
      </c>
      <c r="E362" s="12">
        <v>145909</v>
      </c>
      <c r="F362" s="6">
        <v>44745</v>
      </c>
      <c r="G362" s="13">
        <f t="shared" si="140"/>
        <v>134235</v>
      </c>
      <c r="H362" s="13">
        <f t="shared" si="141"/>
        <v>11674</v>
      </c>
      <c r="I362" s="14">
        <f t="shared" si="142"/>
        <v>8.0008772591135577E-2</v>
      </c>
      <c r="J362" s="11" t="s">
        <v>214</v>
      </c>
      <c r="K362" s="1"/>
    </row>
    <row r="363" spans="1:11" ht="13.5">
      <c r="A363" s="72" t="s">
        <v>166</v>
      </c>
      <c r="B363" s="11" t="s">
        <v>221</v>
      </c>
      <c r="C363" s="12">
        <v>5</v>
      </c>
      <c r="D363" s="12">
        <v>52727</v>
      </c>
      <c r="E363" s="12">
        <v>263636</v>
      </c>
      <c r="F363" s="6">
        <v>44818</v>
      </c>
      <c r="G363" s="13">
        <f t="shared" si="140"/>
        <v>224090</v>
      </c>
      <c r="H363" s="13">
        <f t="shared" si="141"/>
        <v>39546</v>
      </c>
      <c r="I363" s="14">
        <f t="shared" si="142"/>
        <v>0.15000227586520809</v>
      </c>
      <c r="J363" s="11" t="s">
        <v>214</v>
      </c>
      <c r="K363" s="1"/>
    </row>
    <row r="364" spans="1:11" ht="13.5">
      <c r="A364" s="72" t="s">
        <v>166</v>
      </c>
      <c r="B364" s="11" t="s">
        <v>222</v>
      </c>
      <c r="C364" s="12">
        <v>5</v>
      </c>
      <c r="D364" s="12">
        <v>21455</v>
      </c>
      <c r="E364" s="12">
        <v>107273</v>
      </c>
      <c r="F364" s="6">
        <v>19738</v>
      </c>
      <c r="G364" s="13">
        <f t="shared" si="140"/>
        <v>98690</v>
      </c>
      <c r="H364" s="13">
        <f t="shared" si="141"/>
        <v>8583</v>
      </c>
      <c r="I364" s="14">
        <f t="shared" si="142"/>
        <v>8.0010813531830011E-2</v>
      </c>
      <c r="J364" s="11" t="s">
        <v>214</v>
      </c>
      <c r="K364" s="1"/>
    </row>
    <row r="365" spans="1:11" ht="13.5">
      <c r="A365" s="72" t="s">
        <v>166</v>
      </c>
      <c r="B365" s="11" t="s">
        <v>223</v>
      </c>
      <c r="C365" s="12">
        <v>20</v>
      </c>
      <c r="D365" s="12">
        <v>33000</v>
      </c>
      <c r="E365" s="12">
        <v>660000</v>
      </c>
      <c r="F365" s="6">
        <v>30360</v>
      </c>
      <c r="G365" s="13">
        <f t="shared" si="140"/>
        <v>607200</v>
      </c>
      <c r="H365" s="13">
        <f t="shared" si="141"/>
        <v>52800</v>
      </c>
      <c r="I365" s="14">
        <f t="shared" si="142"/>
        <v>0.08</v>
      </c>
      <c r="J365" s="11" t="s">
        <v>214</v>
      </c>
      <c r="K365" s="1"/>
    </row>
    <row r="366" spans="1:11" ht="13.5">
      <c r="A366" s="72" t="s">
        <v>166</v>
      </c>
      <c r="B366" s="11" t="s">
        <v>224</v>
      </c>
      <c r="C366" s="12">
        <v>10</v>
      </c>
      <c r="D366" s="12">
        <v>23182</v>
      </c>
      <c r="E366" s="12">
        <v>231818</v>
      </c>
      <c r="F366" s="6">
        <f>19124.5/1.1</f>
        <v>17385.909090909088</v>
      </c>
      <c r="G366" s="13">
        <f t="shared" si="140"/>
        <v>173859.09090909088</v>
      </c>
      <c r="H366" s="13">
        <f t="shared" si="141"/>
        <v>57958.909090909117</v>
      </c>
      <c r="I366" s="14">
        <f t="shared" si="142"/>
        <v>0.25001901962276063</v>
      </c>
      <c r="J366" s="11" t="s">
        <v>214</v>
      </c>
      <c r="K366" s="1"/>
    </row>
    <row r="367" spans="1:11" ht="13.5">
      <c r="A367" s="68" t="s">
        <v>166</v>
      </c>
      <c r="B367" s="17" t="s">
        <v>225</v>
      </c>
      <c r="C367" s="18">
        <v>5</v>
      </c>
      <c r="D367" s="18">
        <v>33636</v>
      </c>
      <c r="E367" s="18">
        <v>168182</v>
      </c>
      <c r="F367" s="32">
        <v>31282</v>
      </c>
      <c r="G367" s="19">
        <f t="shared" si="140"/>
        <v>156410</v>
      </c>
      <c r="H367" s="19">
        <f t="shared" si="141"/>
        <v>11772</v>
      </c>
      <c r="I367" s="20">
        <f t="shared" si="142"/>
        <v>6.9995600004756756E-2</v>
      </c>
      <c r="J367" s="17" t="s">
        <v>214</v>
      </c>
      <c r="K367" s="1"/>
    </row>
    <row r="368" spans="1:11" ht="13.5">
      <c r="A368" s="150" t="s">
        <v>108</v>
      </c>
      <c r="B368" s="151"/>
      <c r="C368" s="22">
        <v>177</v>
      </c>
      <c r="D368" s="22">
        <v>616710</v>
      </c>
      <c r="E368" s="22">
        <v>10418814</v>
      </c>
      <c r="F368" s="33"/>
      <c r="G368" s="24">
        <v>6255037.7272727275</v>
      </c>
      <c r="H368" s="24">
        <f t="shared" si="141"/>
        <v>4163776.2727272725</v>
      </c>
      <c r="I368" s="25">
        <f t="shared" si="142"/>
        <v>0.39964013876505255</v>
      </c>
      <c r="J368" s="21" t="s">
        <v>226</v>
      </c>
      <c r="K368" s="1" t="s">
        <v>322</v>
      </c>
    </row>
    <row r="369" spans="1:11" ht="13.5">
      <c r="A369" s="80" t="s">
        <v>227</v>
      </c>
      <c r="B369" s="27" t="s">
        <v>152</v>
      </c>
      <c r="C369" s="28">
        <v>15</v>
      </c>
      <c r="D369" s="28">
        <v>65329</v>
      </c>
      <c r="E369" s="28">
        <v>979936</v>
      </c>
      <c r="F369" s="32">
        <v>33318</v>
      </c>
      <c r="G369" s="29">
        <f t="shared" si="140"/>
        <v>499770</v>
      </c>
      <c r="H369" s="29">
        <f t="shared" si="141"/>
        <v>480166</v>
      </c>
      <c r="I369" s="30">
        <f t="shared" si="142"/>
        <v>0.48999730594651081</v>
      </c>
      <c r="J369" s="27" t="s">
        <v>214</v>
      </c>
      <c r="K369" s="1"/>
    </row>
    <row r="370" spans="1:11" ht="13.5">
      <c r="A370" s="81" t="s">
        <v>227</v>
      </c>
      <c r="B370" s="11" t="s">
        <v>153</v>
      </c>
      <c r="C370" s="12">
        <v>40</v>
      </c>
      <c r="D370" s="12">
        <v>71007</v>
      </c>
      <c r="E370" s="12">
        <v>2840291</v>
      </c>
      <c r="F370" s="6">
        <v>36213</v>
      </c>
      <c r="G370" s="13">
        <f t="shared" si="140"/>
        <v>1448520</v>
      </c>
      <c r="H370" s="13">
        <f t="shared" si="141"/>
        <v>1391771</v>
      </c>
      <c r="I370" s="14">
        <f t="shared" si="142"/>
        <v>0.49001000249622312</v>
      </c>
      <c r="J370" s="11" t="s">
        <v>214</v>
      </c>
      <c r="K370" s="1"/>
    </row>
    <row r="371" spans="1:11" ht="13.5">
      <c r="A371" s="81" t="s">
        <v>227</v>
      </c>
      <c r="B371" s="11" t="s">
        <v>162</v>
      </c>
      <c r="C371" s="12">
        <v>15</v>
      </c>
      <c r="D371" s="12">
        <v>102087</v>
      </c>
      <c r="E371" s="12">
        <v>1531309</v>
      </c>
      <c r="F371" s="6">
        <v>52064</v>
      </c>
      <c r="G371" s="13">
        <f t="shared" si="140"/>
        <v>780960</v>
      </c>
      <c r="H371" s="13">
        <f t="shared" si="141"/>
        <v>750349</v>
      </c>
      <c r="I371" s="14">
        <f t="shared" si="142"/>
        <v>0.49000495654371523</v>
      </c>
      <c r="J371" s="11" t="s">
        <v>214</v>
      </c>
      <c r="K371" s="1"/>
    </row>
    <row r="372" spans="1:11" ht="13.5">
      <c r="A372" s="81" t="s">
        <v>227</v>
      </c>
      <c r="B372" s="11" t="s">
        <v>228</v>
      </c>
      <c r="C372" s="12">
        <v>10</v>
      </c>
      <c r="D372" s="12">
        <v>28309</v>
      </c>
      <c r="E372" s="12">
        <v>283091</v>
      </c>
      <c r="F372" s="6">
        <f>23354.1/1.1</f>
        <v>21230.999999999996</v>
      </c>
      <c r="G372" s="13">
        <f t="shared" si="140"/>
        <v>212309.99999999997</v>
      </c>
      <c r="H372" s="13">
        <f t="shared" si="141"/>
        <v>70781.000000000029</v>
      </c>
      <c r="I372" s="14">
        <f t="shared" si="142"/>
        <v>0.25002914257252978</v>
      </c>
      <c r="J372" s="11" t="s">
        <v>214</v>
      </c>
      <c r="K372" s="1"/>
    </row>
    <row r="373" spans="1:11" ht="13.5">
      <c r="A373" s="81" t="s">
        <v>227</v>
      </c>
      <c r="B373" s="11" t="s">
        <v>229</v>
      </c>
      <c r="C373" s="12">
        <v>10</v>
      </c>
      <c r="D373" s="12">
        <v>3273</v>
      </c>
      <c r="E373" s="12">
        <v>32727</v>
      </c>
      <c r="F373" s="6">
        <v>3076</v>
      </c>
      <c r="G373" s="13">
        <f t="shared" si="140"/>
        <v>30760</v>
      </c>
      <c r="H373" s="13">
        <f t="shared" si="141"/>
        <v>1967</v>
      </c>
      <c r="I373" s="14">
        <f t="shared" si="142"/>
        <v>6.0103278638433101E-2</v>
      </c>
      <c r="J373" s="11" t="s">
        <v>214</v>
      </c>
      <c r="K373" s="1"/>
    </row>
    <row r="374" spans="1:11" ht="13.5">
      <c r="A374" s="81" t="s">
        <v>227</v>
      </c>
      <c r="B374" s="11" t="s">
        <v>230</v>
      </c>
      <c r="C374" s="12">
        <v>10</v>
      </c>
      <c r="D374" s="12">
        <v>28273</v>
      </c>
      <c r="E374" s="12">
        <v>282727</v>
      </c>
      <c r="F374" s="6">
        <v>26011</v>
      </c>
      <c r="G374" s="13">
        <f t="shared" si="140"/>
        <v>260110</v>
      </c>
      <c r="H374" s="13">
        <f t="shared" si="141"/>
        <v>22617</v>
      </c>
      <c r="I374" s="14">
        <f t="shared" si="142"/>
        <v>7.9995897102151547E-2</v>
      </c>
      <c r="J374" s="11" t="s">
        <v>214</v>
      </c>
      <c r="K374" s="1"/>
    </row>
    <row r="375" spans="1:11" ht="13.5">
      <c r="A375" s="81" t="s">
        <v>227</v>
      </c>
      <c r="B375" s="11" t="s">
        <v>231</v>
      </c>
      <c r="C375" s="12">
        <v>5</v>
      </c>
      <c r="D375" s="12">
        <v>27818</v>
      </c>
      <c r="E375" s="12">
        <v>139091</v>
      </c>
      <c r="F375" s="6">
        <v>25871</v>
      </c>
      <c r="G375" s="13">
        <f t="shared" si="140"/>
        <v>129355</v>
      </c>
      <c r="H375" s="13">
        <f t="shared" si="141"/>
        <v>9736</v>
      </c>
      <c r="I375" s="14">
        <f t="shared" si="142"/>
        <v>6.9997339871019693E-2</v>
      </c>
      <c r="J375" s="11" t="s">
        <v>214</v>
      </c>
      <c r="K375" s="1"/>
    </row>
    <row r="376" spans="1:11" ht="13.5">
      <c r="A376" s="81" t="s">
        <v>227</v>
      </c>
      <c r="B376" s="11" t="s">
        <v>232</v>
      </c>
      <c r="C376" s="12">
        <v>5</v>
      </c>
      <c r="D376" s="12">
        <v>29455</v>
      </c>
      <c r="E376" s="12">
        <v>147273</v>
      </c>
      <c r="F376" s="6">
        <v>26214</v>
      </c>
      <c r="G376" s="13">
        <f t="shared" si="140"/>
        <v>131070</v>
      </c>
      <c r="H376" s="13">
        <f t="shared" si="141"/>
        <v>16203</v>
      </c>
      <c r="I376" s="14">
        <f t="shared" si="142"/>
        <v>0.11002016662932106</v>
      </c>
      <c r="J376" s="11" t="s">
        <v>214</v>
      </c>
      <c r="K376" s="1"/>
    </row>
    <row r="377" spans="1:11" ht="13.5">
      <c r="A377" s="81" t="s">
        <v>227</v>
      </c>
      <c r="B377" s="11" t="s">
        <v>233</v>
      </c>
      <c r="C377" s="12">
        <v>20</v>
      </c>
      <c r="D377" s="12">
        <v>11556</v>
      </c>
      <c r="E377" s="12">
        <v>231127</v>
      </c>
      <c r="F377" s="6">
        <v>8667</v>
      </c>
      <c r="G377" s="13">
        <f t="shared" si="140"/>
        <v>173340</v>
      </c>
      <c r="H377" s="13">
        <f t="shared" si="141"/>
        <v>57787</v>
      </c>
      <c r="I377" s="14">
        <f t="shared" si="142"/>
        <v>0.25002271478451243</v>
      </c>
      <c r="J377" s="11" t="s">
        <v>214</v>
      </c>
      <c r="K377" s="1"/>
    </row>
    <row r="378" spans="1:11" ht="13.5">
      <c r="A378" s="81" t="s">
        <v>227</v>
      </c>
      <c r="B378" s="11" t="s">
        <v>234</v>
      </c>
      <c r="C378" s="12">
        <v>1</v>
      </c>
      <c r="D378" s="12">
        <v>24818</v>
      </c>
      <c r="E378" s="12">
        <v>24818</v>
      </c>
      <c r="F378" s="6">
        <v>22833</v>
      </c>
      <c r="G378" s="13">
        <f t="shared" si="140"/>
        <v>22833</v>
      </c>
      <c r="H378" s="13">
        <f t="shared" si="141"/>
        <v>1985</v>
      </c>
      <c r="I378" s="14">
        <f t="shared" si="142"/>
        <v>7.9982270932387786E-2</v>
      </c>
      <c r="J378" s="11" t="s">
        <v>214</v>
      </c>
      <c r="K378" s="1"/>
    </row>
    <row r="379" spans="1:11" ht="13.5">
      <c r="A379" s="81" t="s">
        <v>227</v>
      </c>
      <c r="B379" s="11" t="s">
        <v>215</v>
      </c>
      <c r="C379" s="12">
        <v>1</v>
      </c>
      <c r="D379" s="12">
        <v>23250</v>
      </c>
      <c r="E379" s="12">
        <v>23250</v>
      </c>
      <c r="F379" s="6">
        <f>22774/1.1</f>
        <v>20703.63636363636</v>
      </c>
      <c r="G379" s="13">
        <f t="shared" si="140"/>
        <v>20703.63636363636</v>
      </c>
      <c r="H379" s="13">
        <f t="shared" si="141"/>
        <v>2546.3636363636397</v>
      </c>
      <c r="I379" s="14">
        <f t="shared" si="142"/>
        <v>0.10952101661779096</v>
      </c>
      <c r="J379" s="11" t="s">
        <v>214</v>
      </c>
      <c r="K379" s="1"/>
    </row>
    <row r="380" spans="1:11" ht="13.5">
      <c r="A380" s="81" t="s">
        <v>227</v>
      </c>
      <c r="B380" s="11" t="s">
        <v>235</v>
      </c>
      <c r="C380" s="12">
        <v>3</v>
      </c>
      <c r="D380" s="12">
        <v>56818</v>
      </c>
      <c r="E380" s="12">
        <v>170455</v>
      </c>
      <c r="F380" s="6">
        <v>52273</v>
      </c>
      <c r="G380" s="13">
        <f t="shared" si="140"/>
        <v>156819</v>
      </c>
      <c r="H380" s="13">
        <f t="shared" si="141"/>
        <v>13636</v>
      </c>
      <c r="I380" s="14">
        <f t="shared" si="142"/>
        <v>7.9997653339591093E-2</v>
      </c>
      <c r="J380" s="11" t="s">
        <v>214</v>
      </c>
      <c r="K380" s="1"/>
    </row>
    <row r="381" spans="1:11" ht="13.5">
      <c r="A381" s="82" t="s">
        <v>227</v>
      </c>
      <c r="B381" s="17" t="s">
        <v>236</v>
      </c>
      <c r="C381" s="18">
        <v>2</v>
      </c>
      <c r="D381" s="18">
        <v>46818</v>
      </c>
      <c r="E381" s="18">
        <v>93636</v>
      </c>
      <c r="F381" s="32">
        <v>43073</v>
      </c>
      <c r="G381" s="19">
        <f t="shared" si="140"/>
        <v>86146</v>
      </c>
      <c r="H381" s="19">
        <f t="shared" si="141"/>
        <v>7490</v>
      </c>
      <c r="I381" s="20">
        <f t="shared" si="142"/>
        <v>7.9990601905250119E-2</v>
      </c>
      <c r="J381" s="3" t="s">
        <v>300</v>
      </c>
      <c r="K381" s="1"/>
    </row>
    <row r="382" spans="1:11" ht="13.5">
      <c r="A382" s="150" t="s">
        <v>116</v>
      </c>
      <c r="B382" s="151"/>
      <c r="C382" s="22">
        <v>137</v>
      </c>
      <c r="D382" s="22">
        <v>518812</v>
      </c>
      <c r="E382" s="22">
        <v>6779731</v>
      </c>
      <c r="F382" s="33"/>
      <c r="G382" s="24">
        <v>3952696.6363636362</v>
      </c>
      <c r="H382" s="24">
        <f t="shared" si="141"/>
        <v>2827034.3636363638</v>
      </c>
      <c r="I382" s="25">
        <f t="shared" si="142"/>
        <v>0.41698326432661764</v>
      </c>
      <c r="J382" s="106" t="s">
        <v>300</v>
      </c>
      <c r="K382" s="1" t="s">
        <v>322</v>
      </c>
    </row>
    <row r="383" spans="1:11" ht="13.5">
      <c r="A383" s="80" t="s">
        <v>227</v>
      </c>
      <c r="B383" s="27" t="s">
        <v>237</v>
      </c>
      <c r="C383" s="28">
        <v>40</v>
      </c>
      <c r="D383" s="28">
        <v>76773</v>
      </c>
      <c r="E383" s="28">
        <v>3070909</v>
      </c>
      <c r="F383" s="32">
        <f>33780/1.1</f>
        <v>30709.090909090908</v>
      </c>
      <c r="G383" s="29">
        <f t="shared" ref="G383:G416" si="143">C383*F383</f>
        <v>1228363.6363636362</v>
      </c>
      <c r="H383" s="29">
        <f t="shared" ref="H383:H417" si="144">E383-G383</f>
        <v>1842545.3636363638</v>
      </c>
      <c r="I383" s="30">
        <f t="shared" ref="I383:I417" si="145">H383/E383</f>
        <v>0.5999999881586735</v>
      </c>
      <c r="J383" s="27" t="s">
        <v>238</v>
      </c>
      <c r="K383" s="1"/>
    </row>
    <row r="384" spans="1:11" ht="13.5">
      <c r="A384" s="82" t="s">
        <v>227</v>
      </c>
      <c r="B384" s="17" t="s">
        <v>239</v>
      </c>
      <c r="C384" s="18">
        <v>20</v>
      </c>
      <c r="D384" s="18">
        <v>80727</v>
      </c>
      <c r="E384" s="18">
        <v>1614545</v>
      </c>
      <c r="F384" s="32">
        <f>53279.6/1.1</f>
        <v>48435.999999999993</v>
      </c>
      <c r="G384" s="19">
        <f t="shared" si="143"/>
        <v>968719.99999999988</v>
      </c>
      <c r="H384" s="19">
        <f t="shared" si="144"/>
        <v>645825.00000000012</v>
      </c>
      <c r="I384" s="20">
        <f t="shared" si="145"/>
        <v>0.40000433558680626</v>
      </c>
      <c r="J384" s="17" t="s">
        <v>238</v>
      </c>
      <c r="K384" s="1"/>
    </row>
    <row r="385" spans="1:11" ht="13.5">
      <c r="A385" s="150" t="s">
        <v>116</v>
      </c>
      <c r="B385" s="151"/>
      <c r="C385" s="22">
        <v>60</v>
      </c>
      <c r="D385" s="22">
        <v>157500</v>
      </c>
      <c r="E385" s="22">
        <v>4685454</v>
      </c>
      <c r="F385" s="33"/>
      <c r="G385" s="24">
        <f>SUM(G383:G384)</f>
        <v>2197083.6363636362</v>
      </c>
      <c r="H385" s="24">
        <f t="shared" si="144"/>
        <v>2488370.3636363638</v>
      </c>
      <c r="I385" s="25">
        <f t="shared" si="145"/>
        <v>0.53108415185302504</v>
      </c>
      <c r="J385" s="21" t="s">
        <v>240</v>
      </c>
      <c r="K385" s="1" t="s">
        <v>324</v>
      </c>
    </row>
    <row r="386" spans="1:11" ht="13.5">
      <c r="A386" s="68" t="s">
        <v>166</v>
      </c>
      <c r="B386" s="27" t="s">
        <v>1</v>
      </c>
      <c r="C386" s="28">
        <v>800</v>
      </c>
      <c r="D386" s="28">
        <v>4964</v>
      </c>
      <c r="E386" s="28">
        <v>3970909</v>
      </c>
      <c r="F386" s="32">
        <v>3600</v>
      </c>
      <c r="G386" s="29">
        <f t="shared" si="143"/>
        <v>2880000</v>
      </c>
      <c r="H386" s="29">
        <f t="shared" si="144"/>
        <v>1090909</v>
      </c>
      <c r="I386" s="30">
        <f t="shared" si="145"/>
        <v>0.27472525812099952</v>
      </c>
      <c r="J386" s="27" t="s">
        <v>241</v>
      </c>
      <c r="K386" s="1"/>
    </row>
    <row r="387" spans="1:11" ht="13.5">
      <c r="A387" s="72" t="s">
        <v>166</v>
      </c>
      <c r="B387" s="11" t="s">
        <v>242</v>
      </c>
      <c r="C387" s="12">
        <v>80</v>
      </c>
      <c r="D387" s="12">
        <v>8439</v>
      </c>
      <c r="E387" s="12">
        <v>675127</v>
      </c>
      <c r="F387" s="6">
        <v>6750</v>
      </c>
      <c r="G387" s="13">
        <f t="shared" si="143"/>
        <v>540000</v>
      </c>
      <c r="H387" s="13">
        <f t="shared" si="144"/>
        <v>135127</v>
      </c>
      <c r="I387" s="14">
        <f t="shared" si="145"/>
        <v>0.20015049020406531</v>
      </c>
      <c r="J387" s="11" t="s">
        <v>241</v>
      </c>
      <c r="K387" s="1"/>
    </row>
    <row r="388" spans="1:11" ht="13.5">
      <c r="A388" s="72" t="s">
        <v>166</v>
      </c>
      <c r="B388" s="11" t="s">
        <v>126</v>
      </c>
      <c r="C388" s="12">
        <v>400</v>
      </c>
      <c r="D388" s="12">
        <v>8194</v>
      </c>
      <c r="E388" s="12">
        <v>3277455</v>
      </c>
      <c r="F388" s="6">
        <v>6555</v>
      </c>
      <c r="G388" s="13">
        <f t="shared" si="143"/>
        <v>2622000</v>
      </c>
      <c r="H388" s="13">
        <f t="shared" si="144"/>
        <v>655455</v>
      </c>
      <c r="I388" s="14">
        <f t="shared" si="145"/>
        <v>0.19998901586749473</v>
      </c>
      <c r="J388" s="11" t="s">
        <v>241</v>
      </c>
      <c r="K388" s="1"/>
    </row>
    <row r="389" spans="1:11" ht="13.5">
      <c r="A389" s="72" t="s">
        <v>166</v>
      </c>
      <c r="B389" s="11" t="s">
        <v>243</v>
      </c>
      <c r="C389" s="12">
        <v>15</v>
      </c>
      <c r="D389" s="12">
        <v>64800</v>
      </c>
      <c r="E389" s="12">
        <v>972000</v>
      </c>
      <c r="F389" s="6">
        <v>45360</v>
      </c>
      <c r="G389" s="13">
        <f t="shared" si="143"/>
        <v>680400</v>
      </c>
      <c r="H389" s="13">
        <f t="shared" si="144"/>
        <v>291600</v>
      </c>
      <c r="I389" s="14">
        <f t="shared" si="145"/>
        <v>0.3</v>
      </c>
      <c r="J389" s="11" t="s">
        <v>241</v>
      </c>
      <c r="K389" s="1"/>
    </row>
    <row r="390" spans="1:11" ht="13.5">
      <c r="A390" s="68" t="s">
        <v>166</v>
      </c>
      <c r="B390" s="17" t="s">
        <v>244</v>
      </c>
      <c r="C390" s="18">
        <v>1</v>
      </c>
      <c r="D390" s="18">
        <v>116091</v>
      </c>
      <c r="E390" s="18">
        <v>116091</v>
      </c>
      <c r="F390" s="32">
        <v>58045</v>
      </c>
      <c r="G390" s="19">
        <f t="shared" si="143"/>
        <v>58045</v>
      </c>
      <c r="H390" s="19">
        <f t="shared" si="144"/>
        <v>58046</v>
      </c>
      <c r="I390" s="20">
        <f t="shared" si="145"/>
        <v>0.500004306966087</v>
      </c>
      <c r="J390" s="17" t="s">
        <v>241</v>
      </c>
      <c r="K390" s="1"/>
    </row>
    <row r="391" spans="1:11" ht="13.5">
      <c r="A391" s="150" t="s">
        <v>108</v>
      </c>
      <c r="B391" s="151"/>
      <c r="C391" s="22">
        <v>1296</v>
      </c>
      <c r="D391" s="22">
        <v>202487</v>
      </c>
      <c r="E391" s="22">
        <v>9011582</v>
      </c>
      <c r="F391" s="33"/>
      <c r="G391" s="24">
        <v>6780445</v>
      </c>
      <c r="H391" s="24">
        <f t="shared" si="144"/>
        <v>2231137</v>
      </c>
      <c r="I391" s="25">
        <f t="shared" si="145"/>
        <v>0.24758549608714653</v>
      </c>
      <c r="J391" s="21" t="s">
        <v>245</v>
      </c>
      <c r="K391" s="1" t="s">
        <v>326</v>
      </c>
    </row>
    <row r="392" spans="1:11" ht="13.5">
      <c r="A392" s="80" t="s">
        <v>227</v>
      </c>
      <c r="B392" s="27" t="s">
        <v>1</v>
      </c>
      <c r="C392" s="28">
        <v>640</v>
      </c>
      <c r="D392" s="28">
        <v>4964</v>
      </c>
      <c r="E392" s="28">
        <v>3176727</v>
      </c>
      <c r="F392" s="32">
        <v>3600</v>
      </c>
      <c r="G392" s="29">
        <f t="shared" si="143"/>
        <v>2304000</v>
      </c>
      <c r="H392" s="29">
        <f t="shared" si="144"/>
        <v>872727</v>
      </c>
      <c r="I392" s="30">
        <f t="shared" si="145"/>
        <v>0.2747252124592387</v>
      </c>
      <c r="J392" s="27" t="s">
        <v>241</v>
      </c>
      <c r="K392" s="1"/>
    </row>
    <row r="393" spans="1:11" ht="13.5">
      <c r="A393" s="81" t="s">
        <v>227</v>
      </c>
      <c r="B393" s="11" t="s">
        <v>242</v>
      </c>
      <c r="C393" s="12">
        <v>100</v>
      </c>
      <c r="D393" s="12">
        <v>8439</v>
      </c>
      <c r="E393" s="12">
        <v>843909</v>
      </c>
      <c r="F393" s="6">
        <v>6750</v>
      </c>
      <c r="G393" s="13">
        <f t="shared" si="143"/>
        <v>675000</v>
      </c>
      <c r="H393" s="13">
        <f t="shared" si="144"/>
        <v>168909</v>
      </c>
      <c r="I393" s="14">
        <f t="shared" si="145"/>
        <v>0.20015072715186116</v>
      </c>
      <c r="J393" s="11" t="s">
        <v>241</v>
      </c>
      <c r="K393" s="1"/>
    </row>
    <row r="394" spans="1:11" ht="13.5">
      <c r="A394" s="81" t="s">
        <v>227</v>
      </c>
      <c r="B394" s="11" t="s">
        <v>126</v>
      </c>
      <c r="C394" s="12">
        <v>300</v>
      </c>
      <c r="D394" s="12">
        <v>8194</v>
      </c>
      <c r="E394" s="12">
        <v>2458091</v>
      </c>
      <c r="F394" s="6">
        <v>6555</v>
      </c>
      <c r="G394" s="13">
        <f t="shared" si="143"/>
        <v>1966500</v>
      </c>
      <c r="H394" s="13">
        <f t="shared" si="144"/>
        <v>491591</v>
      </c>
      <c r="I394" s="14">
        <f t="shared" si="145"/>
        <v>0.19998893450242486</v>
      </c>
      <c r="J394" s="11" t="s">
        <v>241</v>
      </c>
      <c r="K394" s="1"/>
    </row>
    <row r="395" spans="1:11" ht="13.5">
      <c r="A395" s="82" t="s">
        <v>227</v>
      </c>
      <c r="B395" s="17" t="s">
        <v>243</v>
      </c>
      <c r="C395" s="18">
        <v>15</v>
      </c>
      <c r="D395" s="18">
        <v>64800</v>
      </c>
      <c r="E395" s="18">
        <v>972000</v>
      </c>
      <c r="F395" s="32">
        <v>45360</v>
      </c>
      <c r="G395" s="19">
        <f t="shared" si="143"/>
        <v>680400</v>
      </c>
      <c r="H395" s="19">
        <f t="shared" si="144"/>
        <v>291600</v>
      </c>
      <c r="I395" s="20">
        <f t="shared" si="145"/>
        <v>0.3</v>
      </c>
      <c r="J395" s="17" t="s">
        <v>241</v>
      </c>
      <c r="K395" s="1"/>
    </row>
    <row r="396" spans="1:11" ht="13.5">
      <c r="A396" s="150" t="s">
        <v>116</v>
      </c>
      <c r="B396" s="151"/>
      <c r="C396" s="22">
        <v>1055</v>
      </c>
      <c r="D396" s="22">
        <v>86396</v>
      </c>
      <c r="E396" s="22">
        <v>7450727</v>
      </c>
      <c r="F396" s="33"/>
      <c r="G396" s="24">
        <v>5625900</v>
      </c>
      <c r="H396" s="24">
        <f t="shared" si="144"/>
        <v>1824827</v>
      </c>
      <c r="I396" s="25">
        <f t="shared" si="145"/>
        <v>0.2449193212957608</v>
      </c>
      <c r="J396" s="21" t="s">
        <v>245</v>
      </c>
      <c r="K396" s="1" t="s">
        <v>326</v>
      </c>
    </row>
    <row r="397" spans="1:11" ht="13.5">
      <c r="A397" s="68" t="s">
        <v>166</v>
      </c>
      <c r="B397" s="27" t="s">
        <v>176</v>
      </c>
      <c r="C397" s="28">
        <v>105</v>
      </c>
      <c r="D397" s="28">
        <v>11475</v>
      </c>
      <c r="E397" s="28">
        <v>1204923</v>
      </c>
      <c r="F397" s="32">
        <v>9525</v>
      </c>
      <c r="G397" s="29">
        <f t="shared" si="143"/>
        <v>1000125</v>
      </c>
      <c r="H397" s="29">
        <f t="shared" si="144"/>
        <v>204798</v>
      </c>
      <c r="I397" s="30">
        <f t="shared" si="145"/>
        <v>0.16996770748006304</v>
      </c>
      <c r="J397" s="27" t="s">
        <v>246</v>
      </c>
      <c r="K397" s="1"/>
    </row>
    <row r="398" spans="1:11" ht="13.5">
      <c r="A398" s="72" t="s">
        <v>166</v>
      </c>
      <c r="B398" s="11" t="s">
        <v>149</v>
      </c>
      <c r="C398" s="12">
        <v>105</v>
      </c>
      <c r="D398" s="12">
        <v>11023</v>
      </c>
      <c r="E398" s="12">
        <v>1157386</v>
      </c>
      <c r="F398" s="6">
        <v>9149</v>
      </c>
      <c r="G398" s="13">
        <f t="shared" si="143"/>
        <v>960645</v>
      </c>
      <c r="H398" s="13">
        <f t="shared" si="144"/>
        <v>196741</v>
      </c>
      <c r="I398" s="14">
        <f t="shared" si="145"/>
        <v>0.16998736808636011</v>
      </c>
      <c r="J398" s="11" t="s">
        <v>246</v>
      </c>
      <c r="K398" s="1"/>
    </row>
    <row r="399" spans="1:11" ht="13.5">
      <c r="A399" s="72" t="s">
        <v>166</v>
      </c>
      <c r="B399" s="11" t="s">
        <v>127</v>
      </c>
      <c r="C399" s="12">
        <v>10</v>
      </c>
      <c r="D399" s="12">
        <v>8439</v>
      </c>
      <c r="E399" s="12">
        <v>84391</v>
      </c>
      <c r="F399" s="6">
        <v>7005</v>
      </c>
      <c r="G399" s="13">
        <f t="shared" si="143"/>
        <v>70050</v>
      </c>
      <c r="H399" s="13">
        <f t="shared" si="144"/>
        <v>14341</v>
      </c>
      <c r="I399" s="14">
        <f t="shared" si="145"/>
        <v>0.16993518266165825</v>
      </c>
      <c r="J399" s="11" t="s">
        <v>246</v>
      </c>
      <c r="K399" s="1"/>
    </row>
    <row r="400" spans="1:11" ht="13.5">
      <c r="A400" s="72" t="s">
        <v>166</v>
      </c>
      <c r="B400" s="11" t="s">
        <v>100</v>
      </c>
      <c r="C400" s="12">
        <v>10</v>
      </c>
      <c r="D400" s="12">
        <v>17711</v>
      </c>
      <c r="E400" s="12">
        <v>177109</v>
      </c>
      <c r="F400" s="6">
        <f>15000.7/1.1</f>
        <v>13637</v>
      </c>
      <c r="G400" s="13">
        <f t="shared" si="143"/>
        <v>136370</v>
      </c>
      <c r="H400" s="13">
        <f t="shared" si="144"/>
        <v>40739</v>
      </c>
      <c r="I400" s="14">
        <f t="shared" si="145"/>
        <v>0.23002218972497163</v>
      </c>
      <c r="J400" s="11" t="s">
        <v>246</v>
      </c>
      <c r="K400" s="1"/>
    </row>
    <row r="401" spans="1:11" ht="13.5">
      <c r="A401" s="72" t="s">
        <v>166</v>
      </c>
      <c r="B401" s="11" t="s">
        <v>103</v>
      </c>
      <c r="C401" s="12">
        <v>20</v>
      </c>
      <c r="D401" s="12">
        <v>25740</v>
      </c>
      <c r="E401" s="12">
        <v>514800</v>
      </c>
      <c r="F401" s="6">
        <f>21802/1.1</f>
        <v>19820</v>
      </c>
      <c r="G401" s="13">
        <f t="shared" si="143"/>
        <v>396400</v>
      </c>
      <c r="H401" s="13">
        <f t="shared" si="144"/>
        <v>118400</v>
      </c>
      <c r="I401" s="14">
        <f t="shared" si="145"/>
        <v>0.22999222999222999</v>
      </c>
      <c r="J401" s="11" t="s">
        <v>246</v>
      </c>
      <c r="K401" s="1"/>
    </row>
    <row r="402" spans="1:11" ht="13.5">
      <c r="A402" s="72" t="s">
        <v>166</v>
      </c>
      <c r="B402" s="11" t="s">
        <v>247</v>
      </c>
      <c r="C402" s="12">
        <v>250</v>
      </c>
      <c r="D402" s="12">
        <v>1504</v>
      </c>
      <c r="E402" s="12">
        <v>375909</v>
      </c>
      <c r="F402" s="6">
        <v>1368</v>
      </c>
      <c r="G402" s="13">
        <f t="shared" si="143"/>
        <v>342000</v>
      </c>
      <c r="H402" s="13">
        <f t="shared" si="144"/>
        <v>33909</v>
      </c>
      <c r="I402" s="14">
        <f t="shared" si="145"/>
        <v>9.0205342250385068E-2</v>
      </c>
      <c r="J402" s="11" t="s">
        <v>246</v>
      </c>
      <c r="K402" s="1"/>
    </row>
    <row r="403" spans="1:11" ht="13.5">
      <c r="A403" s="72" t="s">
        <v>166</v>
      </c>
      <c r="B403" s="11" t="s">
        <v>248</v>
      </c>
      <c r="C403" s="12">
        <v>60</v>
      </c>
      <c r="D403" s="12">
        <v>1206</v>
      </c>
      <c r="E403" s="12">
        <v>72382</v>
      </c>
      <c r="F403" s="6">
        <v>1097</v>
      </c>
      <c r="G403" s="13">
        <f t="shared" si="143"/>
        <v>65820</v>
      </c>
      <c r="H403" s="13">
        <f t="shared" si="144"/>
        <v>6562</v>
      </c>
      <c r="I403" s="14">
        <f t="shared" si="145"/>
        <v>9.0657898372523554E-2</v>
      </c>
      <c r="J403" s="11" t="s">
        <v>246</v>
      </c>
      <c r="K403" s="1"/>
    </row>
    <row r="404" spans="1:11" ht="13.5">
      <c r="A404" s="72" t="s">
        <v>166</v>
      </c>
      <c r="B404" s="73" t="s">
        <v>155</v>
      </c>
      <c r="C404" s="12">
        <v>5</v>
      </c>
      <c r="D404" s="12">
        <v>108115</v>
      </c>
      <c r="E404" s="12">
        <v>540573</v>
      </c>
      <c r="F404" s="6">
        <v>54060</v>
      </c>
      <c r="G404" s="13">
        <f t="shared" si="143"/>
        <v>270300</v>
      </c>
      <c r="H404" s="13">
        <f t="shared" si="144"/>
        <v>270273</v>
      </c>
      <c r="I404" s="14">
        <f t="shared" si="145"/>
        <v>0.49997502649965869</v>
      </c>
      <c r="J404" s="11" t="s">
        <v>246</v>
      </c>
      <c r="K404" s="1"/>
    </row>
    <row r="405" spans="1:11" ht="13.5">
      <c r="A405" s="72" t="s">
        <v>166</v>
      </c>
      <c r="B405" s="73" t="s">
        <v>249</v>
      </c>
      <c r="C405" s="12">
        <v>7</v>
      </c>
      <c r="D405" s="12">
        <v>87065</v>
      </c>
      <c r="E405" s="12">
        <v>609458</v>
      </c>
      <c r="F405" s="6">
        <v>43530</v>
      </c>
      <c r="G405" s="13">
        <f t="shared" si="143"/>
        <v>304710</v>
      </c>
      <c r="H405" s="13">
        <f t="shared" si="144"/>
        <v>304748</v>
      </c>
      <c r="I405" s="14">
        <f t="shared" si="145"/>
        <v>0.50003117524095175</v>
      </c>
      <c r="J405" s="11" t="s">
        <v>246</v>
      </c>
      <c r="K405" s="1"/>
    </row>
    <row r="406" spans="1:11" ht="13.5">
      <c r="A406" s="72" t="s">
        <v>166</v>
      </c>
      <c r="B406" s="73" t="s">
        <v>250</v>
      </c>
      <c r="C406" s="12">
        <v>3</v>
      </c>
      <c r="D406" s="12">
        <v>73658</v>
      </c>
      <c r="E406" s="12">
        <v>220975</v>
      </c>
      <c r="F406" s="6">
        <v>43530</v>
      </c>
      <c r="G406" s="13">
        <f t="shared" si="143"/>
        <v>130590</v>
      </c>
      <c r="H406" s="13">
        <f t="shared" si="144"/>
        <v>90385</v>
      </c>
      <c r="I406" s="14">
        <f t="shared" si="145"/>
        <v>0.40902817060753477</v>
      </c>
      <c r="J406" s="11" t="s">
        <v>246</v>
      </c>
      <c r="K406" s="1"/>
    </row>
    <row r="407" spans="1:11" ht="13.5">
      <c r="A407" s="72" t="s">
        <v>166</v>
      </c>
      <c r="B407" s="73" t="s">
        <v>251</v>
      </c>
      <c r="C407" s="12">
        <v>1</v>
      </c>
      <c r="D407" s="12">
        <v>66660</v>
      </c>
      <c r="E407" s="12">
        <v>66660</v>
      </c>
      <c r="F407" s="6">
        <v>33330</v>
      </c>
      <c r="G407" s="13">
        <f t="shared" si="143"/>
        <v>33330</v>
      </c>
      <c r="H407" s="13">
        <f t="shared" si="144"/>
        <v>33330</v>
      </c>
      <c r="I407" s="14">
        <f t="shared" si="145"/>
        <v>0.5</v>
      </c>
      <c r="J407" s="11" t="s">
        <v>246</v>
      </c>
      <c r="K407" s="1"/>
    </row>
    <row r="408" spans="1:11" ht="13.5">
      <c r="A408" s="68" t="s">
        <v>166</v>
      </c>
      <c r="B408" s="75" t="s">
        <v>252</v>
      </c>
      <c r="C408" s="18">
        <v>1</v>
      </c>
      <c r="D408" s="18">
        <v>43544</v>
      </c>
      <c r="E408" s="18">
        <v>43544</v>
      </c>
      <c r="F408" s="32">
        <v>21774</v>
      </c>
      <c r="G408" s="19">
        <f t="shared" si="143"/>
        <v>21774</v>
      </c>
      <c r="H408" s="19">
        <f t="shared" si="144"/>
        <v>21770</v>
      </c>
      <c r="I408" s="20">
        <f t="shared" si="145"/>
        <v>0.49995406944699616</v>
      </c>
      <c r="J408" s="17" t="s">
        <v>246</v>
      </c>
      <c r="K408" s="1"/>
    </row>
    <row r="409" spans="1:11" ht="13.5">
      <c r="A409" s="150" t="s">
        <v>108</v>
      </c>
      <c r="B409" s="151"/>
      <c r="C409" s="22">
        <v>577</v>
      </c>
      <c r="D409" s="22">
        <v>456140</v>
      </c>
      <c r="E409" s="22">
        <v>5068110</v>
      </c>
      <c r="F409" s="33"/>
      <c r="G409" s="24">
        <v>3732114</v>
      </c>
      <c r="H409" s="24">
        <f t="shared" si="144"/>
        <v>1335996</v>
      </c>
      <c r="I409" s="25">
        <f t="shared" si="145"/>
        <v>0.26360832736463891</v>
      </c>
      <c r="J409" s="21" t="s">
        <v>253</v>
      </c>
      <c r="K409" s="1" t="s">
        <v>326</v>
      </c>
    </row>
    <row r="410" spans="1:11" ht="13.5">
      <c r="A410" s="80" t="s">
        <v>254</v>
      </c>
      <c r="B410" s="27" t="s">
        <v>176</v>
      </c>
      <c r="C410" s="28">
        <v>140</v>
      </c>
      <c r="D410" s="28">
        <v>11475</v>
      </c>
      <c r="E410" s="28">
        <v>1606564</v>
      </c>
      <c r="F410" s="32">
        <v>9525</v>
      </c>
      <c r="G410" s="29">
        <f t="shared" si="143"/>
        <v>1333500</v>
      </c>
      <c r="H410" s="29">
        <f t="shared" si="144"/>
        <v>273064</v>
      </c>
      <c r="I410" s="30">
        <f t="shared" si="145"/>
        <v>0.16996770748006304</v>
      </c>
      <c r="J410" s="27" t="s">
        <v>246</v>
      </c>
      <c r="K410" s="1"/>
    </row>
    <row r="411" spans="1:11" ht="13.5">
      <c r="A411" s="81" t="s">
        <v>254</v>
      </c>
      <c r="B411" s="11" t="s">
        <v>149</v>
      </c>
      <c r="C411" s="12">
        <v>140</v>
      </c>
      <c r="D411" s="12">
        <v>11023</v>
      </c>
      <c r="E411" s="12">
        <v>1543182</v>
      </c>
      <c r="F411" s="6">
        <v>9149</v>
      </c>
      <c r="G411" s="13">
        <f t="shared" si="143"/>
        <v>1280860</v>
      </c>
      <c r="H411" s="13">
        <f t="shared" si="144"/>
        <v>262322</v>
      </c>
      <c r="I411" s="14">
        <f t="shared" si="145"/>
        <v>0.16998772665829437</v>
      </c>
      <c r="J411" s="11" t="s">
        <v>246</v>
      </c>
      <c r="K411" s="1"/>
    </row>
    <row r="412" spans="1:11" ht="13.5">
      <c r="A412" s="81" t="s">
        <v>227</v>
      </c>
      <c r="B412" s="11" t="s">
        <v>127</v>
      </c>
      <c r="C412" s="12">
        <v>15</v>
      </c>
      <c r="D412" s="12">
        <v>8439</v>
      </c>
      <c r="E412" s="12">
        <v>126586</v>
      </c>
      <c r="F412" s="6">
        <v>7005</v>
      </c>
      <c r="G412" s="13">
        <f t="shared" si="143"/>
        <v>105075</v>
      </c>
      <c r="H412" s="13">
        <f t="shared" si="144"/>
        <v>21511</v>
      </c>
      <c r="I412" s="14">
        <f t="shared" si="145"/>
        <v>0.16993190400202235</v>
      </c>
      <c r="J412" s="11" t="s">
        <v>246</v>
      </c>
      <c r="K412" s="1"/>
    </row>
    <row r="413" spans="1:11" ht="13.5">
      <c r="A413" s="81" t="s">
        <v>227</v>
      </c>
      <c r="B413" s="11" t="s">
        <v>247</v>
      </c>
      <c r="C413" s="12">
        <v>350</v>
      </c>
      <c r="D413" s="12">
        <v>1504</v>
      </c>
      <c r="E413" s="12">
        <v>526273</v>
      </c>
      <c r="F413" s="6">
        <v>1368</v>
      </c>
      <c r="G413" s="13">
        <f t="shared" si="143"/>
        <v>478800</v>
      </c>
      <c r="H413" s="13">
        <f t="shared" si="144"/>
        <v>47473</v>
      </c>
      <c r="I413" s="14">
        <f t="shared" si="145"/>
        <v>9.0206033750543924E-2</v>
      </c>
      <c r="J413" s="11" t="s">
        <v>246</v>
      </c>
      <c r="K413" s="1"/>
    </row>
    <row r="414" spans="1:11" ht="13.5">
      <c r="A414" s="81" t="s">
        <v>227</v>
      </c>
      <c r="B414" s="73" t="s">
        <v>155</v>
      </c>
      <c r="C414" s="12">
        <v>15</v>
      </c>
      <c r="D414" s="12">
        <v>108115</v>
      </c>
      <c r="E414" s="12">
        <v>1621718</v>
      </c>
      <c r="F414" s="6">
        <v>54060</v>
      </c>
      <c r="G414" s="13">
        <f t="shared" si="143"/>
        <v>810900</v>
      </c>
      <c r="H414" s="13">
        <f t="shared" si="144"/>
        <v>810818</v>
      </c>
      <c r="I414" s="14">
        <f t="shared" si="145"/>
        <v>0.49997471816925015</v>
      </c>
      <c r="J414" s="11" t="s">
        <v>246</v>
      </c>
      <c r="K414" s="1"/>
    </row>
    <row r="415" spans="1:11" ht="13.5">
      <c r="A415" s="81" t="s">
        <v>227</v>
      </c>
      <c r="B415" s="73" t="s">
        <v>249</v>
      </c>
      <c r="C415" s="12">
        <v>9</v>
      </c>
      <c r="D415" s="12">
        <v>87065</v>
      </c>
      <c r="E415" s="12">
        <v>783589</v>
      </c>
      <c r="F415" s="6">
        <v>43530</v>
      </c>
      <c r="G415" s="13">
        <f t="shared" si="143"/>
        <v>391770</v>
      </c>
      <c r="H415" s="13">
        <f t="shared" si="144"/>
        <v>391819</v>
      </c>
      <c r="I415" s="14">
        <f t="shared" si="145"/>
        <v>0.50003126639092688</v>
      </c>
      <c r="J415" s="11" t="s">
        <v>246</v>
      </c>
      <c r="K415" s="1"/>
    </row>
    <row r="416" spans="1:11" ht="13.5">
      <c r="A416" s="82" t="s">
        <v>227</v>
      </c>
      <c r="B416" s="75" t="s">
        <v>250</v>
      </c>
      <c r="C416" s="18">
        <v>3</v>
      </c>
      <c r="D416" s="18">
        <v>73658</v>
      </c>
      <c r="E416" s="18">
        <v>220975</v>
      </c>
      <c r="F416" s="32">
        <v>43530</v>
      </c>
      <c r="G416" s="19">
        <f t="shared" si="143"/>
        <v>130590</v>
      </c>
      <c r="H416" s="19">
        <f t="shared" si="144"/>
        <v>90385</v>
      </c>
      <c r="I416" s="20">
        <f t="shared" si="145"/>
        <v>0.40902817060753477</v>
      </c>
      <c r="J416" s="17" t="s">
        <v>246</v>
      </c>
      <c r="K416" s="1"/>
    </row>
    <row r="417" spans="1:11" ht="13.5">
      <c r="A417" s="150" t="s">
        <v>116</v>
      </c>
      <c r="B417" s="151"/>
      <c r="C417" s="22">
        <v>672</v>
      </c>
      <c r="D417" s="22">
        <v>301279</v>
      </c>
      <c r="E417" s="22">
        <v>6428887</v>
      </c>
      <c r="F417" s="33"/>
      <c r="G417" s="24">
        <f>SUM(G410:G416)</f>
        <v>4531495</v>
      </c>
      <c r="H417" s="24">
        <f t="shared" si="144"/>
        <v>1897392</v>
      </c>
      <c r="I417" s="25">
        <f t="shared" si="145"/>
        <v>0.29513537879884966</v>
      </c>
      <c r="J417" s="21" t="s">
        <v>253</v>
      </c>
      <c r="K417" s="1" t="s">
        <v>326</v>
      </c>
    </row>
    <row r="418" spans="1:11" ht="13.5">
      <c r="A418" s="83" t="s">
        <v>255</v>
      </c>
      <c r="B418" s="52" t="s">
        <v>128</v>
      </c>
      <c r="C418" s="53">
        <v>20</v>
      </c>
      <c r="D418" s="53">
        <v>61056</v>
      </c>
      <c r="E418" s="53">
        <v>1221127</v>
      </c>
      <c r="F418" s="32">
        <f>45792.02/1.1</f>
        <v>41629.109090909085</v>
      </c>
      <c r="G418" s="32">
        <f>F418*C418</f>
        <v>832582.18181818165</v>
      </c>
      <c r="H418" s="32">
        <f>E418-G418</f>
        <v>388544.81818181835</v>
      </c>
      <c r="I418" s="54">
        <f>H418/E418</f>
        <v>0.31818542885532658</v>
      </c>
      <c r="J418" s="52" t="s">
        <v>256</v>
      </c>
      <c r="K418" s="1"/>
    </row>
    <row r="419" spans="1:11" ht="13.5">
      <c r="A419" s="150" t="s">
        <v>108</v>
      </c>
      <c r="B419" s="151"/>
      <c r="C419" s="22">
        <v>20</v>
      </c>
      <c r="D419" s="22">
        <v>61056</v>
      </c>
      <c r="E419" s="22">
        <v>1221127</v>
      </c>
      <c r="F419" s="33"/>
      <c r="G419" s="33">
        <v>832581.81818181812</v>
      </c>
      <c r="H419" s="33">
        <f>E419-G419</f>
        <v>388545.18181818188</v>
      </c>
      <c r="I419" s="55">
        <f>H419/E419</f>
        <v>0.31818572664283229</v>
      </c>
      <c r="J419" s="21" t="s">
        <v>257</v>
      </c>
      <c r="K419" s="1" t="s">
        <v>324</v>
      </c>
    </row>
    <row r="420" spans="1:11" ht="13.5">
      <c r="A420" s="83" t="s">
        <v>254</v>
      </c>
      <c r="B420" s="52" t="s">
        <v>128</v>
      </c>
      <c r="C420" s="53">
        <v>20</v>
      </c>
      <c r="D420" s="53">
        <v>61056</v>
      </c>
      <c r="E420" s="53">
        <v>1221127</v>
      </c>
      <c r="F420" s="32">
        <f>45792.02/1.1</f>
        <v>41629.109090909085</v>
      </c>
      <c r="G420" s="32">
        <f>F420*C420</f>
        <v>832582.18181818165</v>
      </c>
      <c r="H420" s="32">
        <f>E420-G420</f>
        <v>388544.81818181835</v>
      </c>
      <c r="I420" s="54">
        <f>H420/E420</f>
        <v>0.31818542885532658</v>
      </c>
      <c r="J420" s="52" t="s">
        <v>256</v>
      </c>
      <c r="K420" s="1"/>
    </row>
    <row r="421" spans="1:11" ht="13.5">
      <c r="A421" s="150" t="s">
        <v>116</v>
      </c>
      <c r="B421" s="151"/>
      <c r="C421" s="22">
        <v>20</v>
      </c>
      <c r="D421" s="22">
        <v>463153</v>
      </c>
      <c r="E421" s="22">
        <f>SUM(E420)</f>
        <v>1221127</v>
      </c>
      <c r="F421" s="33"/>
      <c r="G421" s="24">
        <f>SUM(G420)</f>
        <v>832582.18181818165</v>
      </c>
      <c r="H421" s="24">
        <f t="shared" ref="H421" si="146">E421-G421</f>
        <v>388544.81818181835</v>
      </c>
      <c r="I421" s="25">
        <f t="shared" ref="I421" si="147">H421/E421</f>
        <v>0.31818542885532658</v>
      </c>
      <c r="J421" s="21" t="s">
        <v>257</v>
      </c>
      <c r="K421" s="1" t="s">
        <v>324</v>
      </c>
    </row>
    <row r="422" spans="1:11" ht="13.5">
      <c r="A422" s="80" t="s">
        <v>255</v>
      </c>
      <c r="B422" s="69" t="s">
        <v>258</v>
      </c>
      <c r="C422" s="70">
        <v>100</v>
      </c>
      <c r="D422" s="70">
        <v>83735</v>
      </c>
      <c r="E422" s="70">
        <v>2093364</v>
      </c>
      <c r="F422" s="32">
        <f>19756/1.1</f>
        <v>17960</v>
      </c>
      <c r="G422" s="29">
        <f t="shared" ref="G422:G423" si="148">C422*F422</f>
        <v>1796000</v>
      </c>
      <c r="H422" s="29">
        <f t="shared" ref="H422:H423" si="149">E422-G422</f>
        <v>297364</v>
      </c>
      <c r="I422" s="30">
        <f t="shared" ref="I422:I423" si="150">H422/E422</f>
        <v>0.1420507852432735</v>
      </c>
      <c r="J422" s="27" t="s">
        <v>259</v>
      </c>
      <c r="K422" s="1"/>
    </row>
    <row r="423" spans="1:11" ht="13.5">
      <c r="A423" s="82" t="s">
        <v>255</v>
      </c>
      <c r="B423" s="75" t="s">
        <v>260</v>
      </c>
      <c r="C423" s="76">
        <v>1344</v>
      </c>
      <c r="D423" s="76">
        <f>65075/1.1</f>
        <v>59159.090909090904</v>
      </c>
      <c r="E423" s="76">
        <v>79509818</v>
      </c>
      <c r="F423" s="32">
        <f>55836/1.1</f>
        <v>50759.999999999993</v>
      </c>
      <c r="G423" s="19">
        <f t="shared" si="148"/>
        <v>68221439.999999985</v>
      </c>
      <c r="H423" s="19">
        <f t="shared" si="149"/>
        <v>11288378.000000015</v>
      </c>
      <c r="I423" s="20">
        <f t="shared" si="150"/>
        <v>0.14197464267871943</v>
      </c>
      <c r="J423" s="17" t="s">
        <v>259</v>
      </c>
      <c r="K423" s="1"/>
    </row>
    <row r="424" spans="1:11" ht="13.5">
      <c r="A424" s="150" t="s">
        <v>108</v>
      </c>
      <c r="B424" s="150"/>
      <c r="C424" s="78">
        <v>1444</v>
      </c>
      <c r="D424" s="78">
        <v>320371</v>
      </c>
      <c r="E424" s="78">
        <v>81603182</v>
      </c>
      <c r="F424" s="33"/>
      <c r="G424" s="33">
        <v>70017439.999999985</v>
      </c>
      <c r="H424" s="33">
        <f>E424-G424</f>
        <v>11585742.000000015</v>
      </c>
      <c r="I424" s="55">
        <f>H424/E424</f>
        <v>0.14197659596166257</v>
      </c>
      <c r="J424" s="21" t="s">
        <v>261</v>
      </c>
      <c r="K424" s="1" t="s">
        <v>324</v>
      </c>
    </row>
    <row r="425" spans="1:11" ht="13.5">
      <c r="A425" s="80" t="s">
        <v>254</v>
      </c>
      <c r="B425" s="69" t="s">
        <v>258</v>
      </c>
      <c r="C425" s="70">
        <v>65</v>
      </c>
      <c r="D425" s="70">
        <v>62801</v>
      </c>
      <c r="E425" s="70">
        <v>1360687</v>
      </c>
      <c r="F425" s="32">
        <f>19756/1.1</f>
        <v>17960</v>
      </c>
      <c r="G425" s="29">
        <f t="shared" ref="G425" si="151">C425*F425</f>
        <v>1167400</v>
      </c>
      <c r="H425" s="29">
        <f t="shared" ref="H425" si="152">E425-G425</f>
        <v>193287</v>
      </c>
      <c r="I425" s="30">
        <f t="shared" ref="I425" si="153">H425/E425</f>
        <v>0.1420510374538744</v>
      </c>
      <c r="J425" s="27" t="s">
        <v>259</v>
      </c>
      <c r="K425" s="1"/>
    </row>
    <row r="426" spans="1:11" ht="13.5">
      <c r="A426" s="82" t="s">
        <v>254</v>
      </c>
      <c r="B426" s="75" t="s">
        <v>260</v>
      </c>
      <c r="C426" s="76">
        <v>896</v>
      </c>
      <c r="D426" s="76">
        <v>177477</v>
      </c>
      <c r="E426" s="76">
        <v>53006545</v>
      </c>
      <c r="F426" s="32">
        <f>55836/1.1</f>
        <v>50759.999999999993</v>
      </c>
      <c r="G426" s="19">
        <f t="shared" ref="G426:G428" si="154">C426*F426</f>
        <v>45480959.999999993</v>
      </c>
      <c r="H426" s="19">
        <f t="shared" ref="H426:H430" si="155">E426-G426</f>
        <v>7525585.0000000075</v>
      </c>
      <c r="I426" s="20">
        <f t="shared" ref="I426:I430" si="156">H426/E426</f>
        <v>0.1419746372829998</v>
      </c>
      <c r="J426" s="17" t="s">
        <v>259</v>
      </c>
      <c r="K426" s="1"/>
    </row>
    <row r="427" spans="1:11" ht="13.5">
      <c r="A427" s="150" t="s">
        <v>116</v>
      </c>
      <c r="B427" s="150"/>
      <c r="C427" s="78">
        <v>961</v>
      </c>
      <c r="D427" s="78">
        <v>240278</v>
      </c>
      <c r="E427" s="78">
        <v>54367232</v>
      </c>
      <c r="F427" s="33"/>
      <c r="G427" s="24">
        <v>46648359.999999993</v>
      </c>
      <c r="H427" s="24">
        <f t="shared" si="155"/>
        <v>7718872.0000000075</v>
      </c>
      <c r="I427" s="25">
        <f t="shared" si="156"/>
        <v>0.14197654940387636</v>
      </c>
      <c r="J427" s="21" t="s">
        <v>261</v>
      </c>
      <c r="K427" s="1" t="s">
        <v>324</v>
      </c>
    </row>
    <row r="428" spans="1:11" ht="13.5">
      <c r="A428" s="83" t="s">
        <v>254</v>
      </c>
      <c r="B428" s="84" t="s">
        <v>262</v>
      </c>
      <c r="C428" s="85">
        <v>10</v>
      </c>
      <c r="D428" s="85">
        <v>69425</v>
      </c>
      <c r="E428" s="85">
        <v>694255</v>
      </c>
      <c r="F428" s="32">
        <f>55169.4/1.1</f>
        <v>50154</v>
      </c>
      <c r="G428" s="58">
        <f t="shared" si="154"/>
        <v>501540</v>
      </c>
      <c r="H428" s="58">
        <f t="shared" si="155"/>
        <v>192715</v>
      </c>
      <c r="I428" s="59">
        <f t="shared" si="156"/>
        <v>0.27758532527673552</v>
      </c>
      <c r="J428" s="71" t="s">
        <v>263</v>
      </c>
      <c r="K428" s="1"/>
    </row>
    <row r="429" spans="1:11" ht="13.5">
      <c r="A429" s="152" t="s">
        <v>264</v>
      </c>
      <c r="B429" s="152"/>
      <c r="C429" s="86">
        <v>10</v>
      </c>
      <c r="D429" s="86">
        <v>69425</v>
      </c>
      <c r="E429" s="86">
        <v>694255</v>
      </c>
      <c r="F429" s="33"/>
      <c r="G429" s="24">
        <v>501540</v>
      </c>
      <c r="H429" s="24">
        <f t="shared" si="155"/>
        <v>192715</v>
      </c>
      <c r="I429" s="25">
        <f t="shared" si="156"/>
        <v>0.27758532527673552</v>
      </c>
      <c r="J429" s="57" t="s">
        <v>265</v>
      </c>
      <c r="K429" s="1" t="s">
        <v>324</v>
      </c>
    </row>
    <row r="430" spans="1:11" ht="13.5">
      <c r="A430" s="87" t="s">
        <v>255</v>
      </c>
      <c r="B430" s="88" t="s">
        <v>266</v>
      </c>
      <c r="C430" s="89">
        <v>10</v>
      </c>
      <c r="D430" s="89">
        <v>89697</v>
      </c>
      <c r="E430" s="89">
        <v>896973</v>
      </c>
      <c r="F430" s="90"/>
      <c r="G430" s="58">
        <f>759400/1.1</f>
        <v>690363.63636363635</v>
      </c>
      <c r="H430" s="111">
        <f t="shared" si="155"/>
        <v>206609.36363636365</v>
      </c>
      <c r="I430" s="91">
        <f t="shared" si="156"/>
        <v>0.23034067205630898</v>
      </c>
      <c r="J430" s="88" t="s">
        <v>267</v>
      </c>
      <c r="K430" s="1"/>
    </row>
    <row r="431" spans="1:11" ht="13.5">
      <c r="A431" s="150" t="s">
        <v>108</v>
      </c>
      <c r="B431" s="151"/>
      <c r="C431" s="22">
        <v>10</v>
      </c>
      <c r="D431" s="22">
        <v>89697</v>
      </c>
      <c r="E431" s="22">
        <v>896973</v>
      </c>
      <c r="F431" s="33"/>
      <c r="G431" s="33">
        <v>690363.63636363635</v>
      </c>
      <c r="H431" s="24">
        <f t="shared" ref="H431" si="157">E431-G431</f>
        <v>206609.36363636365</v>
      </c>
      <c r="I431" s="25">
        <f t="shared" ref="I431" si="158">H431/E431</f>
        <v>0.23034067205630898</v>
      </c>
      <c r="J431" s="21" t="s">
        <v>268</v>
      </c>
      <c r="K431" s="1" t="s">
        <v>324</v>
      </c>
    </row>
    <row r="432" spans="1:11" ht="13.5">
      <c r="A432" s="83" t="s">
        <v>254</v>
      </c>
      <c r="B432" s="52" t="s">
        <v>266</v>
      </c>
      <c r="C432" s="53">
        <v>20</v>
      </c>
      <c r="D432" s="53">
        <v>89697</v>
      </c>
      <c r="E432" s="53">
        <v>1793945</v>
      </c>
      <c r="F432" s="32"/>
      <c r="G432" s="32">
        <f>1518800/1.1</f>
        <v>1380727.2727272727</v>
      </c>
      <c r="H432" s="111">
        <f t="shared" ref="H432" si="159">E432-G432</f>
        <v>413217.72727272729</v>
      </c>
      <c r="I432" s="91">
        <f t="shared" ref="I432" si="160">H432/E432</f>
        <v>0.23034024302457839</v>
      </c>
      <c r="J432" s="52" t="s">
        <v>267</v>
      </c>
      <c r="K432" s="1"/>
    </row>
    <row r="433" spans="1:11" ht="13.5">
      <c r="A433" s="150" t="s">
        <v>116</v>
      </c>
      <c r="B433" s="151"/>
      <c r="C433" s="22">
        <v>20</v>
      </c>
      <c r="D433" s="22">
        <v>271795</v>
      </c>
      <c r="E433" s="22">
        <f>SUM(E432)</f>
        <v>1793945</v>
      </c>
      <c r="F433" s="33"/>
      <c r="G433" s="33">
        <v>1380727.2727272727</v>
      </c>
      <c r="H433" s="24">
        <f t="shared" ref="H433" si="161">E433-G433</f>
        <v>413217.72727272729</v>
      </c>
      <c r="I433" s="25">
        <f t="shared" ref="I433" si="162">H433/E433</f>
        <v>0.23034024302457839</v>
      </c>
      <c r="J433" s="21" t="s">
        <v>268</v>
      </c>
      <c r="K433" s="1" t="s">
        <v>324</v>
      </c>
    </row>
    <row r="434" spans="1:11" ht="17.25" customHeight="1">
      <c r="A434" s="83" t="s">
        <v>254</v>
      </c>
      <c r="B434" s="52" t="s">
        <v>266</v>
      </c>
      <c r="C434" s="53">
        <v>10</v>
      </c>
      <c r="D434" s="53">
        <v>87635</v>
      </c>
      <c r="E434" s="53">
        <v>876355</v>
      </c>
      <c r="F434" s="32"/>
      <c r="G434" s="32">
        <f>759400/1.1</f>
        <v>690363.63636363635</v>
      </c>
      <c r="H434" s="111">
        <f t="shared" ref="H434:H435" si="163">E434-G434</f>
        <v>185991.36363636365</v>
      </c>
      <c r="I434" s="91">
        <f t="shared" ref="I434:I436" si="164">H434/E434</f>
        <v>0.2122329006354316</v>
      </c>
      <c r="J434" s="52" t="s">
        <v>269</v>
      </c>
      <c r="K434" s="1"/>
    </row>
    <row r="435" spans="1:11" ht="17.25" customHeight="1">
      <c r="A435" s="150" t="s">
        <v>116</v>
      </c>
      <c r="B435" s="151"/>
      <c r="C435" s="22">
        <v>10</v>
      </c>
      <c r="D435" s="22">
        <v>265549</v>
      </c>
      <c r="E435" s="22">
        <v>836714</v>
      </c>
      <c r="F435" s="33"/>
      <c r="G435" s="33">
        <f>SUM(G434)</f>
        <v>690363.63636363635</v>
      </c>
      <c r="H435" s="24">
        <f t="shared" si="163"/>
        <v>146350.36363636365</v>
      </c>
      <c r="I435" s="25">
        <f t="shared" si="164"/>
        <v>0.17491085799492256</v>
      </c>
      <c r="J435" s="21" t="s">
        <v>270</v>
      </c>
      <c r="K435" s="1" t="s">
        <v>324</v>
      </c>
    </row>
    <row r="436" spans="1:11" ht="17.25" customHeight="1">
      <c r="A436" s="83" t="s">
        <v>255</v>
      </c>
      <c r="B436" s="52" t="s">
        <v>54</v>
      </c>
      <c r="C436" s="53">
        <v>48</v>
      </c>
      <c r="D436" s="53">
        <v>14200</v>
      </c>
      <c r="E436" s="53">
        <v>681600</v>
      </c>
      <c r="F436" s="58">
        <v>10000</v>
      </c>
      <c r="G436" s="32">
        <v>480000</v>
      </c>
      <c r="H436" s="32">
        <f>E436-G436</f>
        <v>201600</v>
      </c>
      <c r="I436" s="54">
        <f t="shared" si="164"/>
        <v>0.29577464788732394</v>
      </c>
      <c r="J436" s="52" t="s">
        <v>271</v>
      </c>
      <c r="K436" s="1"/>
    </row>
    <row r="437" spans="1:11" ht="17.25" customHeight="1">
      <c r="A437" s="150" t="s">
        <v>108</v>
      </c>
      <c r="B437" s="151"/>
      <c r="C437" s="22">
        <v>48</v>
      </c>
      <c r="D437" s="22">
        <v>14200</v>
      </c>
      <c r="E437" s="22">
        <v>681600</v>
      </c>
      <c r="F437" s="24"/>
      <c r="G437" s="33">
        <v>480000</v>
      </c>
      <c r="H437" s="33">
        <f>E437-G437</f>
        <v>201600</v>
      </c>
      <c r="I437" s="55">
        <f t="shared" ref="I437" si="165">H437/E437</f>
        <v>0.29577464788732394</v>
      </c>
      <c r="J437" s="21" t="s">
        <v>272</v>
      </c>
      <c r="K437" s="1" t="s">
        <v>326</v>
      </c>
    </row>
    <row r="438" spans="1:11" ht="13.5">
      <c r="A438" s="80" t="s">
        <v>255</v>
      </c>
      <c r="B438" s="27" t="s">
        <v>126</v>
      </c>
      <c r="C438" s="28">
        <v>100</v>
      </c>
      <c r="D438" s="28">
        <v>8194</v>
      </c>
      <c r="E438" s="28">
        <v>819364</v>
      </c>
      <c r="F438" s="32">
        <v>6555</v>
      </c>
      <c r="G438" s="29">
        <f t="shared" ref="G438" si="166">C438*F438</f>
        <v>655500</v>
      </c>
      <c r="H438" s="29">
        <f t="shared" ref="H438" si="167">E438-G438</f>
        <v>163864</v>
      </c>
      <c r="I438" s="30">
        <f t="shared" ref="I438" si="168">H438/E438</f>
        <v>0.19998925996260514</v>
      </c>
      <c r="J438" s="27" t="s">
        <v>273</v>
      </c>
      <c r="K438" s="1"/>
    </row>
    <row r="439" spans="1:11" ht="13.5">
      <c r="A439" s="81" t="s">
        <v>255</v>
      </c>
      <c r="B439" s="11" t="s">
        <v>1</v>
      </c>
      <c r="C439" s="12">
        <v>220</v>
      </c>
      <c r="D439" s="12">
        <v>4964</v>
      </c>
      <c r="E439" s="12">
        <v>1092000</v>
      </c>
      <c r="F439" s="6">
        <v>3600</v>
      </c>
      <c r="G439" s="13">
        <f t="shared" ref="G439:G447" si="169">C439*F439</f>
        <v>792000</v>
      </c>
      <c r="H439" s="13">
        <f t="shared" ref="H439:H447" si="170">E439-G439</f>
        <v>300000</v>
      </c>
      <c r="I439" s="14">
        <f t="shared" ref="I439:I447" si="171">H439/E439</f>
        <v>0.27472527472527475</v>
      </c>
      <c r="J439" s="11" t="s">
        <v>273</v>
      </c>
      <c r="K439" s="1"/>
    </row>
    <row r="440" spans="1:11" ht="13.5">
      <c r="A440" s="81" t="s">
        <v>274</v>
      </c>
      <c r="B440" s="11" t="s">
        <v>74</v>
      </c>
      <c r="C440" s="12">
        <v>48</v>
      </c>
      <c r="D440" s="12">
        <v>12500</v>
      </c>
      <c r="E440" s="12">
        <f>C440*D440</f>
        <v>600000</v>
      </c>
      <c r="F440" s="6">
        <v>9000</v>
      </c>
      <c r="G440" s="13">
        <f t="shared" si="169"/>
        <v>432000</v>
      </c>
      <c r="H440" s="13">
        <f t="shared" si="170"/>
        <v>168000</v>
      </c>
      <c r="I440" s="14">
        <f t="shared" si="171"/>
        <v>0.28000000000000003</v>
      </c>
      <c r="J440" s="11" t="s">
        <v>273</v>
      </c>
      <c r="K440" s="1"/>
    </row>
    <row r="441" spans="1:11" ht="13.5">
      <c r="A441" s="81" t="s">
        <v>274</v>
      </c>
      <c r="B441" s="11" t="s">
        <v>75</v>
      </c>
      <c r="C441" s="12">
        <v>48</v>
      </c>
      <c r="D441" s="12">
        <v>12500</v>
      </c>
      <c r="E441" s="12">
        <f t="shared" ref="E441:E442" si="172">C441*D441</f>
        <v>600000</v>
      </c>
      <c r="F441" s="6">
        <v>9000</v>
      </c>
      <c r="G441" s="13">
        <f t="shared" si="169"/>
        <v>432000</v>
      </c>
      <c r="H441" s="13">
        <f t="shared" si="170"/>
        <v>168000</v>
      </c>
      <c r="I441" s="14">
        <f t="shared" si="171"/>
        <v>0.28000000000000003</v>
      </c>
      <c r="J441" s="11" t="s">
        <v>273</v>
      </c>
      <c r="K441" s="1"/>
    </row>
    <row r="442" spans="1:11" ht="13.5">
      <c r="A442" s="81" t="s">
        <v>274</v>
      </c>
      <c r="B442" s="11" t="s">
        <v>54</v>
      </c>
      <c r="C442" s="12">
        <v>48</v>
      </c>
      <c r="D442" s="12">
        <v>14000</v>
      </c>
      <c r="E442" s="12">
        <f t="shared" si="172"/>
        <v>672000</v>
      </c>
      <c r="F442" s="6">
        <v>10000</v>
      </c>
      <c r="G442" s="13">
        <f t="shared" si="169"/>
        <v>480000</v>
      </c>
      <c r="H442" s="13">
        <f t="shared" si="170"/>
        <v>192000</v>
      </c>
      <c r="I442" s="14">
        <f t="shared" si="171"/>
        <v>0.2857142857142857</v>
      </c>
      <c r="J442" s="11" t="s">
        <v>273</v>
      </c>
      <c r="K442" s="1"/>
    </row>
    <row r="443" spans="1:11" ht="13.5">
      <c r="A443" s="81" t="s">
        <v>274</v>
      </c>
      <c r="B443" s="11" t="s">
        <v>180</v>
      </c>
      <c r="C443" s="12">
        <v>192</v>
      </c>
      <c r="D443" s="12">
        <v>7000</v>
      </c>
      <c r="E443" s="12">
        <v>1344000</v>
      </c>
      <c r="F443" s="6">
        <v>9400</v>
      </c>
      <c r="G443" s="13">
        <f t="shared" si="169"/>
        <v>1804800</v>
      </c>
      <c r="H443" s="13">
        <f t="shared" si="170"/>
        <v>-460800</v>
      </c>
      <c r="I443" s="14">
        <f t="shared" si="171"/>
        <v>-0.34285714285714286</v>
      </c>
      <c r="J443" s="11" t="s">
        <v>273</v>
      </c>
      <c r="K443" s="1"/>
    </row>
    <row r="444" spans="1:11" ht="13.5">
      <c r="A444" s="81" t="s">
        <v>274</v>
      </c>
      <c r="B444" s="11" t="s">
        <v>182</v>
      </c>
      <c r="C444" s="12">
        <v>100</v>
      </c>
      <c r="D444" s="12">
        <v>2500</v>
      </c>
      <c r="E444" s="12">
        <v>250000</v>
      </c>
      <c r="F444" s="6">
        <v>2500</v>
      </c>
      <c r="G444" s="13">
        <f t="shared" si="169"/>
        <v>250000</v>
      </c>
      <c r="H444" s="13">
        <f t="shared" si="170"/>
        <v>0</v>
      </c>
      <c r="I444" s="14">
        <f t="shared" si="171"/>
        <v>0</v>
      </c>
      <c r="J444" s="11" t="s">
        <v>273</v>
      </c>
      <c r="K444" s="1"/>
    </row>
    <row r="445" spans="1:11" ht="13.5">
      <c r="A445" s="81" t="s">
        <v>274</v>
      </c>
      <c r="B445" s="11" t="s">
        <v>275</v>
      </c>
      <c r="C445" s="12">
        <v>24</v>
      </c>
      <c r="D445" s="12">
        <v>8000</v>
      </c>
      <c r="E445" s="12">
        <v>192000</v>
      </c>
      <c r="F445" s="6">
        <v>9600</v>
      </c>
      <c r="G445" s="13">
        <f t="shared" si="169"/>
        <v>230400</v>
      </c>
      <c r="H445" s="13">
        <f t="shared" si="170"/>
        <v>-38400</v>
      </c>
      <c r="I445" s="14">
        <f t="shared" si="171"/>
        <v>-0.2</v>
      </c>
      <c r="J445" s="11" t="s">
        <v>273</v>
      </c>
      <c r="K445" s="1"/>
    </row>
    <row r="446" spans="1:11" ht="13.5">
      <c r="A446" s="81" t="s">
        <v>274</v>
      </c>
      <c r="B446" s="11" t="s">
        <v>77</v>
      </c>
      <c r="C446" s="12">
        <v>1000</v>
      </c>
      <c r="D446" s="12">
        <v>500</v>
      </c>
      <c r="E446" s="12">
        <v>500000</v>
      </c>
      <c r="F446" s="6">
        <v>330</v>
      </c>
      <c r="G446" s="13">
        <f t="shared" si="169"/>
        <v>330000</v>
      </c>
      <c r="H446" s="13">
        <f t="shared" si="170"/>
        <v>170000</v>
      </c>
      <c r="I446" s="14">
        <f t="shared" si="171"/>
        <v>0.34</v>
      </c>
      <c r="J446" s="11" t="s">
        <v>273</v>
      </c>
      <c r="K446" s="1"/>
    </row>
    <row r="447" spans="1:11" ht="13.5">
      <c r="A447" s="82" t="s">
        <v>274</v>
      </c>
      <c r="B447" s="17" t="s">
        <v>129</v>
      </c>
      <c r="C447" s="18">
        <v>20</v>
      </c>
      <c r="D447" s="18">
        <v>34000</v>
      </c>
      <c r="E447" s="18">
        <v>680000</v>
      </c>
      <c r="F447" s="32">
        <v>17000</v>
      </c>
      <c r="G447" s="19">
        <f t="shared" si="169"/>
        <v>340000</v>
      </c>
      <c r="H447" s="19">
        <f t="shared" si="170"/>
        <v>340000</v>
      </c>
      <c r="I447" s="20">
        <f t="shared" si="171"/>
        <v>0.5</v>
      </c>
      <c r="J447" s="17" t="s">
        <v>273</v>
      </c>
      <c r="K447" s="1"/>
    </row>
    <row r="448" spans="1:11" ht="13.5">
      <c r="A448" s="150" t="s">
        <v>108</v>
      </c>
      <c r="B448" s="151"/>
      <c r="C448" s="22">
        <v>1800</v>
      </c>
      <c r="D448" s="22">
        <f>SUM(D438:D447)</f>
        <v>104158</v>
      </c>
      <c r="E448" s="22">
        <f>SUM(E438:E447)</f>
        <v>6749364</v>
      </c>
      <c r="F448" s="33"/>
      <c r="G448" s="33">
        <v>5746700</v>
      </c>
      <c r="H448" s="24">
        <f t="shared" ref="H448" si="173">E448-G448</f>
        <v>1002664</v>
      </c>
      <c r="I448" s="25">
        <f t="shared" ref="I448" si="174">H448/E448</f>
        <v>0.14855681216778352</v>
      </c>
      <c r="J448" s="21" t="s">
        <v>276</v>
      </c>
      <c r="K448" s="1" t="s">
        <v>326</v>
      </c>
    </row>
    <row r="449" spans="1:11" ht="13.5">
      <c r="A449" s="80" t="s">
        <v>254</v>
      </c>
      <c r="B449" s="27" t="s">
        <v>126</v>
      </c>
      <c r="C449" s="28">
        <v>380</v>
      </c>
      <c r="D449" s="28">
        <v>8194</v>
      </c>
      <c r="E449" s="28">
        <v>3113582</v>
      </c>
      <c r="F449" s="32">
        <v>6555</v>
      </c>
      <c r="G449" s="29">
        <f t="shared" ref="G449" si="175">C449*F449</f>
        <v>2490900</v>
      </c>
      <c r="H449" s="29">
        <f t="shared" ref="H449" si="176">E449-G449</f>
        <v>622682</v>
      </c>
      <c r="I449" s="30">
        <f t="shared" ref="I449" si="177">H449/E449</f>
        <v>0.19998895163191463</v>
      </c>
      <c r="J449" s="27" t="s">
        <v>273</v>
      </c>
      <c r="K449" s="1"/>
    </row>
    <row r="450" spans="1:11" ht="13.5">
      <c r="A450" s="81" t="s">
        <v>254</v>
      </c>
      <c r="B450" s="11" t="s">
        <v>1</v>
      </c>
      <c r="C450" s="12">
        <v>340</v>
      </c>
      <c r="D450" s="12">
        <v>4964</v>
      </c>
      <c r="E450" s="12">
        <v>1687636</v>
      </c>
      <c r="F450" s="6">
        <v>3600</v>
      </c>
      <c r="G450" s="13">
        <f t="shared" ref="G450:G455" si="178">C450*F450</f>
        <v>1224000</v>
      </c>
      <c r="H450" s="13">
        <f t="shared" ref="H450:H455" si="179">E450-G450</f>
        <v>463636</v>
      </c>
      <c r="I450" s="14">
        <f t="shared" ref="I450:I455" si="180">H450/E450</f>
        <v>0.27472511844971309</v>
      </c>
      <c r="J450" s="11" t="s">
        <v>273</v>
      </c>
      <c r="K450" s="1"/>
    </row>
    <row r="451" spans="1:11" ht="13.5">
      <c r="A451" s="81" t="s">
        <v>227</v>
      </c>
      <c r="B451" s="11" t="s">
        <v>74</v>
      </c>
      <c r="C451" s="12">
        <v>120</v>
      </c>
      <c r="D451" s="12">
        <v>12500</v>
      </c>
      <c r="E451" s="12">
        <v>1500000</v>
      </c>
      <c r="F451" s="6">
        <v>9000</v>
      </c>
      <c r="G451" s="13">
        <f t="shared" si="178"/>
        <v>1080000</v>
      </c>
      <c r="H451" s="13">
        <f t="shared" si="179"/>
        <v>420000</v>
      </c>
      <c r="I451" s="14">
        <f t="shared" si="180"/>
        <v>0.28000000000000003</v>
      </c>
      <c r="J451" s="11" t="s">
        <v>273</v>
      </c>
      <c r="K451" s="1"/>
    </row>
    <row r="452" spans="1:11" ht="13.5">
      <c r="A452" s="81" t="s">
        <v>227</v>
      </c>
      <c r="B452" s="11" t="s">
        <v>75</v>
      </c>
      <c r="C452" s="12">
        <v>120</v>
      </c>
      <c r="D452" s="12">
        <v>12500</v>
      </c>
      <c r="E452" s="12">
        <v>1500000</v>
      </c>
      <c r="F452" s="6">
        <v>9000</v>
      </c>
      <c r="G452" s="13">
        <f t="shared" si="178"/>
        <v>1080000</v>
      </c>
      <c r="H452" s="13">
        <f t="shared" si="179"/>
        <v>420000</v>
      </c>
      <c r="I452" s="14">
        <f t="shared" si="180"/>
        <v>0.28000000000000003</v>
      </c>
      <c r="J452" s="11" t="s">
        <v>273</v>
      </c>
      <c r="K452" s="1"/>
    </row>
    <row r="453" spans="1:11" ht="13.5">
      <c r="A453" s="81" t="s">
        <v>227</v>
      </c>
      <c r="B453" s="11" t="s">
        <v>54</v>
      </c>
      <c r="C453" s="12">
        <v>48</v>
      </c>
      <c r="D453" s="12">
        <v>14000</v>
      </c>
      <c r="E453" s="12">
        <v>672000</v>
      </c>
      <c r="F453" s="6">
        <v>10000</v>
      </c>
      <c r="G453" s="13">
        <f t="shared" si="178"/>
        <v>480000</v>
      </c>
      <c r="H453" s="13">
        <f t="shared" si="179"/>
        <v>192000</v>
      </c>
      <c r="I453" s="14">
        <f t="shared" si="180"/>
        <v>0.2857142857142857</v>
      </c>
      <c r="J453" s="11" t="s">
        <v>273</v>
      </c>
      <c r="K453" s="1"/>
    </row>
    <row r="454" spans="1:11" ht="13.5">
      <c r="A454" s="81" t="s">
        <v>227</v>
      </c>
      <c r="B454" s="11" t="s">
        <v>180</v>
      </c>
      <c r="C454" s="12">
        <v>360</v>
      </c>
      <c r="D454" s="12">
        <v>7000</v>
      </c>
      <c r="E454" s="12">
        <v>2520000</v>
      </c>
      <c r="F454" s="6">
        <v>9400</v>
      </c>
      <c r="G454" s="13">
        <f t="shared" si="178"/>
        <v>3384000</v>
      </c>
      <c r="H454" s="13">
        <f t="shared" si="179"/>
        <v>-864000</v>
      </c>
      <c r="I454" s="14">
        <f t="shared" si="180"/>
        <v>-0.34285714285714286</v>
      </c>
      <c r="J454" s="11" t="s">
        <v>273</v>
      </c>
      <c r="K454" s="1"/>
    </row>
    <row r="455" spans="1:11" ht="13.5">
      <c r="A455" s="82" t="s">
        <v>227</v>
      </c>
      <c r="B455" s="17" t="s">
        <v>76</v>
      </c>
      <c r="C455" s="18">
        <v>50</v>
      </c>
      <c r="D455" s="18">
        <v>500</v>
      </c>
      <c r="E455" s="18">
        <v>25000</v>
      </c>
      <c r="F455" s="32">
        <v>330</v>
      </c>
      <c r="G455" s="19">
        <f t="shared" si="178"/>
        <v>16500</v>
      </c>
      <c r="H455" s="19">
        <f t="shared" si="179"/>
        <v>8500</v>
      </c>
      <c r="I455" s="20">
        <f t="shared" si="180"/>
        <v>0.34</v>
      </c>
      <c r="J455" s="17" t="s">
        <v>273</v>
      </c>
      <c r="K455" s="1"/>
    </row>
    <row r="456" spans="1:11" ht="13.5">
      <c r="A456" s="150" t="s">
        <v>116</v>
      </c>
      <c r="B456" s="151"/>
      <c r="C456" s="22">
        <f>SUM(C449:C455)</f>
        <v>1418</v>
      </c>
      <c r="D456" s="22">
        <f t="shared" ref="D456:E456" si="181">SUM(D449:D455)</f>
        <v>59658</v>
      </c>
      <c r="E456" s="22">
        <f t="shared" si="181"/>
        <v>11018218</v>
      </c>
      <c r="F456" s="33"/>
      <c r="G456" s="33">
        <f>SUBTOTAL(9,G449:G455)</f>
        <v>9755400</v>
      </c>
      <c r="H456" s="24">
        <f t="shared" ref="H456:H459" si="182">E456-G456</f>
        <v>1262818</v>
      </c>
      <c r="I456" s="25">
        <f t="shared" ref="I456:I459" si="183">H456/E456</f>
        <v>0.11461181835392983</v>
      </c>
      <c r="J456" s="21" t="s">
        <v>276</v>
      </c>
      <c r="K456" s="1" t="s">
        <v>326</v>
      </c>
    </row>
    <row r="457" spans="1:11" ht="13.5">
      <c r="A457" s="80" t="s">
        <v>274</v>
      </c>
      <c r="B457" s="27" t="s">
        <v>277</v>
      </c>
      <c r="C457" s="28">
        <v>50</v>
      </c>
      <c r="D457" s="28">
        <v>91985</v>
      </c>
      <c r="E457" s="28">
        <v>4599273</v>
      </c>
      <c r="F457" s="32">
        <v>70341</v>
      </c>
      <c r="G457" s="29">
        <f t="shared" ref="G457:G458" si="184">C457*F457</f>
        <v>3517050</v>
      </c>
      <c r="H457" s="29">
        <f t="shared" si="182"/>
        <v>1082223</v>
      </c>
      <c r="I457" s="30">
        <f t="shared" si="183"/>
        <v>0.23530305767889839</v>
      </c>
      <c r="J457" s="27" t="s">
        <v>278</v>
      </c>
      <c r="K457" s="1"/>
    </row>
    <row r="458" spans="1:11" ht="13.5">
      <c r="A458" s="82" t="s">
        <v>274</v>
      </c>
      <c r="B458" s="17" t="s">
        <v>277</v>
      </c>
      <c r="C458" s="18">
        <v>30</v>
      </c>
      <c r="D458" s="18">
        <v>91985</v>
      </c>
      <c r="E458" s="18">
        <v>2759564</v>
      </c>
      <c r="F458" s="32">
        <v>70341</v>
      </c>
      <c r="G458" s="19">
        <f t="shared" si="184"/>
        <v>2110230</v>
      </c>
      <c r="H458" s="19">
        <f t="shared" si="182"/>
        <v>649334</v>
      </c>
      <c r="I458" s="20">
        <f t="shared" si="183"/>
        <v>0.2353031131004753</v>
      </c>
      <c r="J458" s="17" t="s">
        <v>278</v>
      </c>
      <c r="K458" s="1"/>
    </row>
    <row r="459" spans="1:11" ht="13.5">
      <c r="A459" s="150" t="s">
        <v>108</v>
      </c>
      <c r="B459" s="151"/>
      <c r="C459" s="22">
        <v>80</v>
      </c>
      <c r="D459" s="22">
        <v>402125</v>
      </c>
      <c r="E459" s="22">
        <f>SUM(E457:E458)</f>
        <v>7358837</v>
      </c>
      <c r="F459" s="33"/>
      <c r="G459" s="24">
        <f>SUM(G457:G458)</f>
        <v>5627280</v>
      </c>
      <c r="H459" s="24">
        <f t="shared" si="182"/>
        <v>1731557</v>
      </c>
      <c r="I459" s="25">
        <f t="shared" si="183"/>
        <v>0.23530307846199067</v>
      </c>
      <c r="J459" s="21" t="s">
        <v>279</v>
      </c>
      <c r="K459" s="1" t="s">
        <v>324</v>
      </c>
    </row>
    <row r="460" spans="1:11" ht="13.5">
      <c r="A460" s="80" t="s">
        <v>227</v>
      </c>
      <c r="B460" s="27" t="s">
        <v>277</v>
      </c>
      <c r="C460" s="28">
        <v>18</v>
      </c>
      <c r="D460" s="28">
        <v>91985</v>
      </c>
      <c r="E460" s="28">
        <v>1655738</v>
      </c>
      <c r="F460" s="32">
        <v>70341</v>
      </c>
      <c r="G460" s="32">
        <f>F460*C460</f>
        <v>1266138</v>
      </c>
      <c r="H460" s="32">
        <f>E460-G460</f>
        <v>389600</v>
      </c>
      <c r="I460" s="54">
        <f>H460/E460</f>
        <v>0.23530292836185435</v>
      </c>
      <c r="J460" s="27" t="s">
        <v>278</v>
      </c>
      <c r="K460" s="1"/>
    </row>
    <row r="461" spans="1:11" ht="13.5">
      <c r="A461" s="81" t="s">
        <v>227</v>
      </c>
      <c r="B461" s="11" t="s">
        <v>277</v>
      </c>
      <c r="C461" s="12">
        <v>30</v>
      </c>
      <c r="D461" s="12">
        <v>91985</v>
      </c>
      <c r="E461" s="12">
        <v>2759564</v>
      </c>
      <c r="F461" s="6">
        <v>70341</v>
      </c>
      <c r="G461" s="32">
        <f t="shared" ref="G461:G462" si="185">F461*C461</f>
        <v>2110230</v>
      </c>
      <c r="H461" s="32">
        <f t="shared" ref="H461:H462" si="186">E461-G461</f>
        <v>649334</v>
      </c>
      <c r="I461" s="54">
        <f t="shared" ref="I461:I462" si="187">H461/E461</f>
        <v>0.2353031131004753</v>
      </c>
      <c r="J461" s="11" t="s">
        <v>278</v>
      </c>
      <c r="K461" s="1"/>
    </row>
    <row r="462" spans="1:11" ht="13.5">
      <c r="A462" s="82" t="s">
        <v>227</v>
      </c>
      <c r="B462" s="17" t="s">
        <v>277</v>
      </c>
      <c r="C462" s="18">
        <v>20</v>
      </c>
      <c r="D462" s="18">
        <v>91985</v>
      </c>
      <c r="E462" s="18">
        <v>1839709</v>
      </c>
      <c r="F462" s="32">
        <v>70341</v>
      </c>
      <c r="G462" s="32">
        <f t="shared" si="185"/>
        <v>1406820</v>
      </c>
      <c r="H462" s="32">
        <f t="shared" si="186"/>
        <v>432889</v>
      </c>
      <c r="I462" s="54">
        <f t="shared" si="187"/>
        <v>0.23530297454651797</v>
      </c>
      <c r="J462" s="17" t="s">
        <v>278</v>
      </c>
      <c r="K462" s="1"/>
    </row>
    <row r="463" spans="1:11" ht="13.5">
      <c r="A463" s="150" t="s">
        <v>116</v>
      </c>
      <c r="B463" s="151"/>
      <c r="C463" s="22">
        <v>68</v>
      </c>
      <c r="D463" s="22">
        <v>275956</v>
      </c>
      <c r="E463" s="22">
        <f>SUM(E460:E462)</f>
        <v>6255011</v>
      </c>
      <c r="F463" s="33"/>
      <c r="G463" s="33">
        <f>SUM(G460:G462)</f>
        <v>4783188</v>
      </c>
      <c r="H463" s="33">
        <f t="shared" ref="H463" si="188">E463-G463</f>
        <v>1471823</v>
      </c>
      <c r="I463" s="55">
        <f t="shared" ref="I463" si="189">H463/E463</f>
        <v>0.2353030234479204</v>
      </c>
      <c r="J463" s="21" t="s">
        <v>279</v>
      </c>
      <c r="K463" s="1" t="s">
        <v>324</v>
      </c>
    </row>
    <row r="464" spans="1:11" ht="13.5">
      <c r="A464" s="150" t="s">
        <v>108</v>
      </c>
      <c r="B464" s="151"/>
      <c r="C464" s="22"/>
      <c r="D464" s="22"/>
      <c r="E464" s="22">
        <v>23121865</v>
      </c>
      <c r="F464" s="33"/>
      <c r="G464" s="33">
        <f>18304520/1.1</f>
        <v>16640472.727272727</v>
      </c>
      <c r="H464" s="33">
        <f>E464-G464</f>
        <v>6481392.2727272734</v>
      </c>
      <c r="I464" s="55">
        <f>H464/E464</f>
        <v>0.28031442414905861</v>
      </c>
      <c r="J464" s="21" t="s">
        <v>280</v>
      </c>
      <c r="K464" s="1" t="s">
        <v>322</v>
      </c>
    </row>
    <row r="465" spans="1:11" ht="13.5">
      <c r="A465" s="150" t="s">
        <v>116</v>
      </c>
      <c r="B465" s="151"/>
      <c r="C465" s="22"/>
      <c r="D465" s="22"/>
      <c r="E465" s="22">
        <v>23926742</v>
      </c>
      <c r="F465" s="33"/>
      <c r="G465" s="33">
        <v>16166423</v>
      </c>
      <c r="H465" s="33">
        <f>E465-G465</f>
        <v>7760319</v>
      </c>
      <c r="I465" s="55">
        <f>H465/E465</f>
        <v>0.3243366355519694</v>
      </c>
      <c r="J465" s="21" t="s">
        <v>280</v>
      </c>
      <c r="K465" s="1" t="s">
        <v>322</v>
      </c>
    </row>
    <row r="466" spans="1:11" ht="13.5">
      <c r="A466" s="150" t="s">
        <v>108</v>
      </c>
      <c r="B466" s="151"/>
      <c r="C466" s="22"/>
      <c r="D466" s="22"/>
      <c r="E466" s="22">
        <v>50598648</v>
      </c>
      <c r="F466" s="33"/>
      <c r="G466" s="33">
        <v>43246029</v>
      </c>
      <c r="H466" s="33">
        <f>E466-G466</f>
        <v>7352619</v>
      </c>
      <c r="I466" s="55">
        <f>H466/E466</f>
        <v>0.14531255854899522</v>
      </c>
      <c r="J466" s="21" t="s">
        <v>281</v>
      </c>
      <c r="K466" s="1" t="s">
        <v>322</v>
      </c>
    </row>
    <row r="467" spans="1:11" ht="13.5">
      <c r="A467" s="150" t="s">
        <v>282</v>
      </c>
      <c r="B467" s="151"/>
      <c r="C467" s="22"/>
      <c r="D467" s="22"/>
      <c r="E467" s="22">
        <v>46737474</v>
      </c>
      <c r="F467" s="33"/>
      <c r="G467" s="33">
        <v>35980505</v>
      </c>
      <c r="H467" s="33">
        <f>E467-G467</f>
        <v>10756969</v>
      </c>
      <c r="I467" s="55">
        <f>H467/E467</f>
        <v>0.23015726095937492</v>
      </c>
      <c r="J467" s="21" t="s">
        <v>281</v>
      </c>
      <c r="K467" s="1" t="s">
        <v>322</v>
      </c>
    </row>
    <row r="468" spans="1:11" ht="13.5">
      <c r="A468" s="92" t="s">
        <v>97</v>
      </c>
      <c r="B468" s="93" t="s">
        <v>283</v>
      </c>
      <c r="C468" s="94">
        <v>115</v>
      </c>
      <c r="D468" s="94">
        <v>8100</v>
      </c>
      <c r="E468" s="94">
        <v>931500</v>
      </c>
      <c r="F468" s="95">
        <v>6414</v>
      </c>
      <c r="G468" s="95">
        <f t="shared" ref="G468:G469" si="190">F468*C468</f>
        <v>737610</v>
      </c>
      <c r="H468" s="95">
        <f t="shared" ref="H468:H470" si="191">E468-G468</f>
        <v>193890</v>
      </c>
      <c r="I468" s="96">
        <f t="shared" ref="I468:I470" si="192">H468/E468</f>
        <v>0.20814814814814814</v>
      </c>
      <c r="J468" s="97" t="s">
        <v>284</v>
      </c>
      <c r="K468" s="1"/>
    </row>
    <row r="469" spans="1:11" ht="13.5">
      <c r="A469" s="98" t="s">
        <v>97</v>
      </c>
      <c r="B469" s="99" t="s">
        <v>285</v>
      </c>
      <c r="C469" s="100">
        <v>1910</v>
      </c>
      <c r="D469" s="100">
        <v>7860</v>
      </c>
      <c r="E469" s="100">
        <v>15012600</v>
      </c>
      <c r="F469" s="101">
        <v>6227</v>
      </c>
      <c r="G469" s="101">
        <f t="shared" si="190"/>
        <v>11893570</v>
      </c>
      <c r="H469" s="101">
        <f t="shared" si="191"/>
        <v>3119030</v>
      </c>
      <c r="I469" s="102">
        <f t="shared" si="192"/>
        <v>0.20776081424936388</v>
      </c>
      <c r="J469" s="103" t="s">
        <v>284</v>
      </c>
      <c r="K469" s="1"/>
    </row>
    <row r="470" spans="1:11" ht="13.5">
      <c r="A470" s="150" t="s">
        <v>120</v>
      </c>
      <c r="B470" s="151"/>
      <c r="C470" s="22">
        <v>2025</v>
      </c>
      <c r="D470" s="22">
        <v>15960</v>
      </c>
      <c r="E470" s="22">
        <v>15944100</v>
      </c>
      <c r="F470" s="33"/>
      <c r="G470" s="33">
        <v>12631180</v>
      </c>
      <c r="H470" s="33">
        <f t="shared" si="191"/>
        <v>3312920</v>
      </c>
      <c r="I470" s="55">
        <f t="shared" si="192"/>
        <v>0.20778344340539762</v>
      </c>
      <c r="J470" s="57" t="s">
        <v>286</v>
      </c>
      <c r="K470" s="1" t="s">
        <v>322</v>
      </c>
    </row>
    <row r="471" spans="1:11" ht="13.5">
      <c r="A471" s="92" t="s">
        <v>110</v>
      </c>
      <c r="B471" s="93" t="s">
        <v>283</v>
      </c>
      <c r="C471" s="94">
        <v>115</v>
      </c>
      <c r="D471" s="94">
        <v>8100</v>
      </c>
      <c r="E471" s="94">
        <v>931500</v>
      </c>
      <c r="F471" s="95">
        <v>6414</v>
      </c>
      <c r="G471" s="95">
        <f t="shared" ref="G471:G472" si="193">F471*C471</f>
        <v>737610</v>
      </c>
      <c r="H471" s="95">
        <f t="shared" ref="H471:H473" si="194">E471-G471</f>
        <v>193890</v>
      </c>
      <c r="I471" s="96">
        <f t="shared" ref="I471:I473" si="195">H471/E471</f>
        <v>0.20814814814814814</v>
      </c>
      <c r="J471" s="97" t="s">
        <v>284</v>
      </c>
      <c r="K471" s="1"/>
    </row>
    <row r="472" spans="1:11" ht="13.5">
      <c r="A472" s="98" t="s">
        <v>110</v>
      </c>
      <c r="B472" s="99" t="s">
        <v>285</v>
      </c>
      <c r="C472" s="100">
        <v>1820</v>
      </c>
      <c r="D472" s="100">
        <v>7860</v>
      </c>
      <c r="E472" s="100">
        <v>14305200</v>
      </c>
      <c r="F472" s="101">
        <v>6227</v>
      </c>
      <c r="G472" s="101">
        <f t="shared" si="193"/>
        <v>11333140</v>
      </c>
      <c r="H472" s="101">
        <f t="shared" si="194"/>
        <v>2972060</v>
      </c>
      <c r="I472" s="102">
        <f t="shared" si="195"/>
        <v>0.20776081424936388</v>
      </c>
      <c r="J472" s="103" t="s">
        <v>284</v>
      </c>
      <c r="K472" s="1"/>
    </row>
    <row r="473" spans="1:11" ht="13.5">
      <c r="A473" s="148" t="s">
        <v>122</v>
      </c>
      <c r="B473" s="149"/>
      <c r="C473" s="22">
        <v>1935</v>
      </c>
      <c r="D473" s="22">
        <v>15960</v>
      </c>
      <c r="E473" s="22">
        <v>15236700</v>
      </c>
      <c r="F473" s="33"/>
      <c r="G473" s="33">
        <f>SUM(G471:G472)</f>
        <v>12070750</v>
      </c>
      <c r="H473" s="33">
        <f t="shared" si="194"/>
        <v>3165950</v>
      </c>
      <c r="I473" s="55">
        <f t="shared" si="195"/>
        <v>0.2077844940177335</v>
      </c>
      <c r="J473" s="57" t="s">
        <v>286</v>
      </c>
      <c r="K473" s="1" t="s">
        <v>322</v>
      </c>
    </row>
    <row r="474" spans="1:11" ht="13.5">
      <c r="A474" s="148" t="s">
        <v>108</v>
      </c>
      <c r="B474" s="149"/>
      <c r="C474" s="22"/>
      <c r="D474" s="22"/>
      <c r="E474" s="22">
        <v>347227</v>
      </c>
      <c r="F474" s="33"/>
      <c r="G474" s="33">
        <f>213100/1.1</f>
        <v>193727.27272727271</v>
      </c>
      <c r="H474" s="33">
        <f>E474-G474</f>
        <v>153499.72727272729</v>
      </c>
      <c r="I474" s="55">
        <f>H474/E474</f>
        <v>0.44207313161916351</v>
      </c>
      <c r="J474" s="57" t="s">
        <v>287</v>
      </c>
      <c r="K474" s="1" t="s">
        <v>324</v>
      </c>
    </row>
    <row r="475" spans="1:11" ht="13.5">
      <c r="A475" s="51" t="s">
        <v>97</v>
      </c>
      <c r="B475" s="52" t="s">
        <v>81</v>
      </c>
      <c r="C475" s="53">
        <v>120</v>
      </c>
      <c r="D475" s="53">
        <v>17100</v>
      </c>
      <c r="E475" s="53">
        <f>C475*D475</f>
        <v>2052000</v>
      </c>
      <c r="F475" s="32">
        <v>10000</v>
      </c>
      <c r="G475" s="32">
        <f>F475*C475</f>
        <v>1200000</v>
      </c>
      <c r="H475" s="32">
        <f t="shared" ref="H475" si="196">E475-G475</f>
        <v>852000</v>
      </c>
      <c r="I475" s="54">
        <f t="shared" ref="I475" si="197">H475/E475</f>
        <v>0.41520467836257308</v>
      </c>
      <c r="J475" s="71" t="s">
        <v>288</v>
      </c>
      <c r="K475" s="1"/>
    </row>
    <row r="476" spans="1:11" ht="13.5">
      <c r="A476" s="148" t="s">
        <v>108</v>
      </c>
      <c r="B476" s="149"/>
      <c r="C476" s="22"/>
      <c r="D476" s="22"/>
      <c r="E476" s="22">
        <f>SUM(E475)</f>
        <v>2052000</v>
      </c>
      <c r="F476" s="33"/>
      <c r="G476" s="33">
        <v>1200000</v>
      </c>
      <c r="H476" s="33">
        <f>E476-G476</f>
        <v>852000</v>
      </c>
      <c r="I476" s="55">
        <f>H476/E476</f>
        <v>0.41520467836257308</v>
      </c>
      <c r="J476" s="57" t="s">
        <v>289</v>
      </c>
      <c r="K476" s="1" t="s">
        <v>326</v>
      </c>
    </row>
    <row r="477" spans="1:11" ht="13.5">
      <c r="A477" s="51" t="s">
        <v>110</v>
      </c>
      <c r="B477" s="52" t="s">
        <v>81</v>
      </c>
      <c r="C477" s="53">
        <v>120</v>
      </c>
      <c r="D477" s="53">
        <v>17100</v>
      </c>
      <c r="E477" s="53">
        <f>C477*D477</f>
        <v>2052000</v>
      </c>
      <c r="F477" s="32">
        <v>10000</v>
      </c>
      <c r="G477" s="32">
        <f>F477*C477</f>
        <v>1200000</v>
      </c>
      <c r="H477" s="32">
        <f t="shared" ref="H477" si="198">E477-G477</f>
        <v>852000</v>
      </c>
      <c r="I477" s="54">
        <f t="shared" ref="I477" si="199">H477/E477</f>
        <v>0.41520467836257308</v>
      </c>
      <c r="J477" s="71" t="s">
        <v>288</v>
      </c>
      <c r="K477" s="1"/>
    </row>
    <row r="478" spans="1:11" ht="13.5">
      <c r="A478" s="150" t="s">
        <v>282</v>
      </c>
      <c r="B478" s="151"/>
      <c r="C478" s="22"/>
      <c r="D478" s="22"/>
      <c r="E478" s="22">
        <f>SUM(E477)</f>
        <v>2052000</v>
      </c>
      <c r="F478" s="33"/>
      <c r="G478" s="33">
        <v>1200000</v>
      </c>
      <c r="H478" s="33">
        <f>E478-G478</f>
        <v>852000</v>
      </c>
      <c r="I478" s="55">
        <f>H478/E478</f>
        <v>0.41520467836257308</v>
      </c>
      <c r="J478" s="57" t="s">
        <v>289</v>
      </c>
      <c r="K478" s="1" t="s">
        <v>326</v>
      </c>
    </row>
    <row r="479" spans="1:11" ht="13.5">
      <c r="A479" s="92" t="s">
        <v>97</v>
      </c>
      <c r="B479" s="93" t="s">
        <v>82</v>
      </c>
      <c r="C479" s="94">
        <v>48</v>
      </c>
      <c r="D479" s="94">
        <v>14700</v>
      </c>
      <c r="E479" s="94">
        <v>705600</v>
      </c>
      <c r="F479" s="95">
        <v>9000</v>
      </c>
      <c r="G479" s="95">
        <f t="shared" ref="G479:G482" si="200">F479*C479</f>
        <v>432000</v>
      </c>
      <c r="H479" s="95">
        <f t="shared" ref="H479:H484" si="201">E479-G479</f>
        <v>273600</v>
      </c>
      <c r="I479" s="96">
        <f t="shared" ref="I479:I484" si="202">H479/E479</f>
        <v>0.38775510204081631</v>
      </c>
      <c r="J479" s="93" t="s">
        <v>290</v>
      </c>
      <c r="K479" s="1"/>
    </row>
    <row r="480" spans="1:11" ht="13.5">
      <c r="A480" s="60" t="s">
        <v>97</v>
      </c>
      <c r="B480" s="11" t="s">
        <v>83</v>
      </c>
      <c r="C480" s="12">
        <v>24</v>
      </c>
      <c r="D480" s="12">
        <v>14700</v>
      </c>
      <c r="E480" s="12">
        <v>352800</v>
      </c>
      <c r="F480" s="104">
        <v>9000</v>
      </c>
      <c r="G480" s="104">
        <f t="shared" si="200"/>
        <v>216000</v>
      </c>
      <c r="H480" s="104">
        <f t="shared" si="201"/>
        <v>136800</v>
      </c>
      <c r="I480" s="105">
        <f t="shared" si="202"/>
        <v>0.38775510204081631</v>
      </c>
      <c r="J480" s="11" t="s">
        <v>290</v>
      </c>
      <c r="K480" s="1"/>
    </row>
    <row r="481" spans="1:11" ht="13.5">
      <c r="A481" s="60" t="s">
        <v>97</v>
      </c>
      <c r="B481" s="11" t="s">
        <v>180</v>
      </c>
      <c r="C481" s="12">
        <v>72</v>
      </c>
      <c r="D481" s="12">
        <v>6200</v>
      </c>
      <c r="E481" s="12">
        <v>446400</v>
      </c>
      <c r="F481" s="104">
        <v>9400</v>
      </c>
      <c r="G481" s="104">
        <f t="shared" si="200"/>
        <v>676800</v>
      </c>
      <c r="H481" s="104">
        <f t="shared" si="201"/>
        <v>-230400</v>
      </c>
      <c r="I481" s="105">
        <f t="shared" si="202"/>
        <v>-0.5161290322580645</v>
      </c>
      <c r="J481" s="11" t="s">
        <v>290</v>
      </c>
      <c r="K481" s="1"/>
    </row>
    <row r="482" spans="1:11" ht="13.5">
      <c r="A482" s="98" t="s">
        <v>97</v>
      </c>
      <c r="B482" s="99" t="s">
        <v>1</v>
      </c>
      <c r="C482" s="100">
        <v>70</v>
      </c>
      <c r="D482" s="100">
        <v>4964</v>
      </c>
      <c r="E482" s="100">
        <v>347455</v>
      </c>
      <c r="F482" s="101">
        <v>3600</v>
      </c>
      <c r="G482" s="101">
        <f t="shared" si="200"/>
        <v>252000</v>
      </c>
      <c r="H482" s="101">
        <f t="shared" si="201"/>
        <v>95455</v>
      </c>
      <c r="I482" s="102">
        <f t="shared" si="202"/>
        <v>0.27472622353973897</v>
      </c>
      <c r="J482" s="99" t="s">
        <v>296</v>
      </c>
      <c r="K482" s="1"/>
    </row>
    <row r="483" spans="1:11" ht="13.5">
      <c r="A483" s="148" t="s">
        <v>108</v>
      </c>
      <c r="B483" s="149"/>
      <c r="C483" s="22">
        <v>214</v>
      </c>
      <c r="D483" s="22">
        <v>40564</v>
      </c>
      <c r="E483" s="22">
        <v>1852255</v>
      </c>
      <c r="F483" s="33"/>
      <c r="G483" s="33">
        <f>SUM(G479:G482)</f>
        <v>1576800</v>
      </c>
      <c r="H483" s="33">
        <f t="shared" si="201"/>
        <v>275455</v>
      </c>
      <c r="I483" s="55">
        <f t="shared" si="202"/>
        <v>0.14871332510912375</v>
      </c>
      <c r="J483" s="107" t="s">
        <v>297</v>
      </c>
      <c r="K483" s="1" t="s">
        <v>326</v>
      </c>
    </row>
    <row r="484" spans="1:11" ht="13.5">
      <c r="A484" s="51" t="s">
        <v>97</v>
      </c>
      <c r="B484" s="52" t="s">
        <v>266</v>
      </c>
      <c r="C484" s="53">
        <v>12</v>
      </c>
      <c r="D484" s="53">
        <v>92790</v>
      </c>
      <c r="E484" s="53">
        <v>1113480</v>
      </c>
      <c r="F484" s="32">
        <v>67015.454500000007</v>
      </c>
      <c r="G484" s="32">
        <f>C484*F484</f>
        <v>804185.45400000014</v>
      </c>
      <c r="H484" s="32">
        <f t="shared" si="201"/>
        <v>309294.54599999986</v>
      </c>
      <c r="I484" s="54">
        <f t="shared" si="202"/>
        <v>0.27777287962064867</v>
      </c>
      <c r="J484" s="52" t="s">
        <v>298</v>
      </c>
      <c r="K484" s="1"/>
    </row>
    <row r="485" spans="1:11" ht="13.5">
      <c r="A485" s="148" t="s">
        <v>108</v>
      </c>
      <c r="B485" s="149"/>
      <c r="C485" s="22">
        <v>12</v>
      </c>
      <c r="D485" s="22"/>
      <c r="E485" s="22">
        <v>1113480</v>
      </c>
      <c r="F485" s="33"/>
      <c r="G485" s="33">
        <f>SUM(G484)</f>
        <v>804185.45400000014</v>
      </c>
      <c r="H485" s="33">
        <f t="shared" ref="H485:H487" si="203">E485-G485</f>
        <v>309294.54599999986</v>
      </c>
      <c r="I485" s="55">
        <f t="shared" ref="I485:I487" si="204">H485/E485</f>
        <v>0.27777287962064867</v>
      </c>
      <c r="J485" s="107" t="s">
        <v>299</v>
      </c>
      <c r="K485" s="1" t="s">
        <v>324</v>
      </c>
    </row>
    <row r="486" spans="1:11" ht="13.5">
      <c r="A486" s="26" t="s">
        <v>97</v>
      </c>
      <c r="B486" s="27" t="s">
        <v>291</v>
      </c>
      <c r="C486" s="28">
        <v>1</v>
      </c>
      <c r="D486" s="28">
        <v>367364</v>
      </c>
      <c r="E486" s="28">
        <v>367364</v>
      </c>
      <c r="F486" s="32">
        <f>352689/1.1</f>
        <v>320626.36363636359</v>
      </c>
      <c r="G486" s="32">
        <f t="shared" ref="G486:G487" si="205">F486*C486</f>
        <v>320626.36363636359</v>
      </c>
      <c r="H486" s="32">
        <f t="shared" si="203"/>
        <v>46737.636363636411</v>
      </c>
      <c r="I486" s="54">
        <f t="shared" si="204"/>
        <v>0.12722432346020951</v>
      </c>
      <c r="J486" s="27" t="s">
        <v>292</v>
      </c>
      <c r="K486" s="1"/>
    </row>
    <row r="487" spans="1:11" ht="13.5">
      <c r="A487" s="16" t="s">
        <v>97</v>
      </c>
      <c r="B487" s="17" t="s">
        <v>174</v>
      </c>
      <c r="C487" s="18">
        <v>1</v>
      </c>
      <c r="D487" s="18">
        <v>309091</v>
      </c>
      <c r="E487" s="18">
        <v>309091</v>
      </c>
      <c r="F487" s="32">
        <f>264200/1.1</f>
        <v>240181.81818181818</v>
      </c>
      <c r="G487" s="32">
        <f t="shared" si="205"/>
        <v>240181.81818181818</v>
      </c>
      <c r="H487" s="32">
        <f t="shared" si="203"/>
        <v>68909.181818181823</v>
      </c>
      <c r="I487" s="54">
        <f t="shared" si="204"/>
        <v>0.22294140501723383</v>
      </c>
      <c r="J487" s="3" t="s">
        <v>295</v>
      </c>
      <c r="K487" s="1"/>
    </row>
    <row r="488" spans="1:11" ht="13.5">
      <c r="A488" s="148" t="s">
        <v>108</v>
      </c>
      <c r="B488" s="149"/>
      <c r="C488" s="22">
        <v>2</v>
      </c>
      <c r="D488" s="22">
        <v>676455</v>
      </c>
      <c r="E488" s="22">
        <v>676455</v>
      </c>
      <c r="F488" s="33"/>
      <c r="G488" s="33">
        <f>SUM(G486:G487)</f>
        <v>560808.18181818177</v>
      </c>
      <c r="H488" s="33">
        <f t="shared" ref="H488" si="206">E488-G488</f>
        <v>115646.81818181823</v>
      </c>
      <c r="I488" s="55">
        <f t="shared" ref="I488" si="207">H488/E488</f>
        <v>0.17096010552338031</v>
      </c>
      <c r="J488" s="106" t="s">
        <v>295</v>
      </c>
      <c r="K488" s="1" t="s">
        <v>322</v>
      </c>
    </row>
    <row r="489" spans="1:11" ht="13.5">
      <c r="A489" s="148" t="s">
        <v>108</v>
      </c>
      <c r="B489" s="149"/>
      <c r="C489" s="22"/>
      <c r="D489" s="22"/>
      <c r="E489" s="22">
        <v>16108393</v>
      </c>
      <c r="F489" s="33"/>
      <c r="G489" s="33">
        <f>15952445/1.1</f>
        <v>14502222.727272727</v>
      </c>
      <c r="H489" s="33">
        <f>E489-G489</f>
        <v>1606170.2727272734</v>
      </c>
      <c r="I489" s="55">
        <f>H489/E489</f>
        <v>9.9710149406416482E-2</v>
      </c>
      <c r="J489" s="21" t="s">
        <v>293</v>
      </c>
      <c r="K489" s="1" t="s">
        <v>322</v>
      </c>
    </row>
    <row r="490" spans="1:11" ht="13.5">
      <c r="A490" s="148" t="s">
        <v>282</v>
      </c>
      <c r="B490" s="149"/>
      <c r="C490" s="22"/>
      <c r="D490" s="22"/>
      <c r="E490" s="22">
        <v>6206464</v>
      </c>
      <c r="F490" s="33"/>
      <c r="G490" s="33">
        <f>3770794/1.1</f>
        <v>3427994.5454545449</v>
      </c>
      <c r="H490" s="33">
        <f>E490-G490</f>
        <v>2778469.4545454551</v>
      </c>
      <c r="I490" s="55">
        <f>H490/E490</f>
        <v>0.44767349887882296</v>
      </c>
      <c r="J490" s="21" t="s">
        <v>293</v>
      </c>
      <c r="K490" s="1" t="s">
        <v>322</v>
      </c>
    </row>
    <row r="491" spans="1:11" ht="13.5">
      <c r="A491" s="92" t="s">
        <v>110</v>
      </c>
      <c r="B491" s="93" t="s">
        <v>126</v>
      </c>
      <c r="C491" s="94">
        <v>685</v>
      </c>
      <c r="D491" s="94">
        <v>8194</v>
      </c>
      <c r="E491" s="94">
        <v>5612641</v>
      </c>
      <c r="F491" s="95">
        <v>6555</v>
      </c>
      <c r="G491" s="95">
        <f t="shared" ref="G491:G492" si="208">F491*C491</f>
        <v>4490175</v>
      </c>
      <c r="H491" s="95">
        <f t="shared" ref="H491:H492" si="209">E491-G491</f>
        <v>1122466</v>
      </c>
      <c r="I491" s="96">
        <f t="shared" ref="I491:I492" si="210">H491/E491</f>
        <v>0.19998891787306547</v>
      </c>
      <c r="J491" s="93" t="s">
        <v>290</v>
      </c>
      <c r="K491" s="1"/>
    </row>
    <row r="492" spans="1:11" ht="13.5">
      <c r="A492" s="98" t="s">
        <v>110</v>
      </c>
      <c r="B492" s="99" t="s">
        <v>242</v>
      </c>
      <c r="C492" s="100">
        <v>35</v>
      </c>
      <c r="D492" s="100">
        <v>8439</v>
      </c>
      <c r="E492" s="100">
        <v>295368</v>
      </c>
      <c r="F492" s="101">
        <v>6750</v>
      </c>
      <c r="G492" s="101">
        <f t="shared" si="208"/>
        <v>236250</v>
      </c>
      <c r="H492" s="101">
        <f t="shared" si="209"/>
        <v>59118</v>
      </c>
      <c r="I492" s="102">
        <f t="shared" si="210"/>
        <v>0.20015032095555374</v>
      </c>
      <c r="J492" s="99" t="s">
        <v>290</v>
      </c>
      <c r="K492" s="1"/>
    </row>
    <row r="493" spans="1:11" ht="13.5">
      <c r="A493" s="148" t="s">
        <v>116</v>
      </c>
      <c r="B493" s="149"/>
      <c r="C493" s="22">
        <v>720</v>
      </c>
      <c r="D493" s="22">
        <v>16633</v>
      </c>
      <c r="E493" s="22">
        <v>5908009</v>
      </c>
      <c r="F493" s="33"/>
      <c r="G493" s="33">
        <f>SUM(G491:G492)</f>
        <v>4726425</v>
      </c>
      <c r="H493" s="33">
        <f t="shared" ref="H493:H494" si="211">E493-G493</f>
        <v>1181584</v>
      </c>
      <c r="I493" s="55">
        <f t="shared" ref="I493:I494" si="212">H493/E493</f>
        <v>0.19999698714067632</v>
      </c>
      <c r="J493" s="21" t="s">
        <v>294</v>
      </c>
      <c r="K493" s="1" t="s">
        <v>324</v>
      </c>
    </row>
    <row r="494" spans="1:11" ht="13.5">
      <c r="A494" s="51" t="s">
        <v>110</v>
      </c>
      <c r="B494" s="52" t="s">
        <v>266</v>
      </c>
      <c r="C494" s="53">
        <v>16</v>
      </c>
      <c r="D494" s="53">
        <v>92790</v>
      </c>
      <c r="E494" s="53">
        <f>C494*D494</f>
        <v>1484640</v>
      </c>
      <c r="F494" s="32">
        <v>67015.454500000007</v>
      </c>
      <c r="G494" s="32">
        <f>C494*F494</f>
        <v>1072247.2720000001</v>
      </c>
      <c r="H494" s="32">
        <f t="shared" si="211"/>
        <v>412392.72799999989</v>
      </c>
      <c r="I494" s="54">
        <f t="shared" si="212"/>
        <v>0.27777287962064873</v>
      </c>
      <c r="J494" s="52" t="s">
        <v>298</v>
      </c>
      <c r="K494" s="1"/>
    </row>
    <row r="495" spans="1:11" ht="13.5">
      <c r="A495" s="148" t="s">
        <v>282</v>
      </c>
      <c r="B495" s="149"/>
      <c r="C495" s="22">
        <v>16</v>
      </c>
      <c r="D495" s="22">
        <v>185580</v>
      </c>
      <c r="E495" s="22">
        <f>E494</f>
        <v>1484640</v>
      </c>
      <c r="F495" s="33"/>
      <c r="G495" s="33">
        <f>SUM(G494)</f>
        <v>1072247.2720000001</v>
      </c>
      <c r="H495" s="33">
        <f t="shared" ref="H495" si="213">E495-G495</f>
        <v>412392.72799999989</v>
      </c>
      <c r="I495" s="55">
        <f t="shared" ref="I495" si="214">H495/E495</f>
        <v>0.27777287962064873</v>
      </c>
      <c r="J495" s="107" t="s">
        <v>299</v>
      </c>
      <c r="K495" s="1" t="s">
        <v>324</v>
      </c>
    </row>
    <row r="496" spans="1:11">
      <c r="A496" s="120"/>
      <c r="B496" s="121"/>
      <c r="C496" s="122"/>
      <c r="D496" s="122"/>
      <c r="E496" s="122"/>
      <c r="F496" s="123"/>
      <c r="G496" s="5"/>
      <c r="H496" s="5"/>
      <c r="J496" s="126"/>
    </row>
    <row r="497" spans="2:10">
      <c r="C497" s="71"/>
      <c r="D497" s="71"/>
      <c r="E497" s="32"/>
      <c r="F497" s="32"/>
      <c r="J497" s="32"/>
    </row>
    <row r="501" spans="2:10">
      <c r="F501" s="5"/>
      <c r="G501" s="5"/>
      <c r="I501" s="115"/>
    </row>
    <row r="504" spans="2:10" ht="13.5">
      <c r="I504" s="1"/>
      <c r="J504" s="1"/>
    </row>
    <row r="505" spans="2:10" ht="13.5">
      <c r="B505" s="131"/>
      <c r="D505" s="1"/>
    </row>
    <row r="506" spans="2:10" ht="13.5">
      <c r="B506" s="1"/>
      <c r="D506" s="1"/>
    </row>
    <row r="507" spans="2:10" ht="13.5">
      <c r="B507" s="1"/>
      <c r="D507" s="1"/>
    </row>
    <row r="514" spans="9:9">
      <c r="I514" s="115"/>
    </row>
  </sheetData>
  <autoFilter ref="A2:K500" xr:uid="{00000000-0001-0000-0000-000000000000}"/>
  <sortState xmlns:xlrd2="http://schemas.microsoft.com/office/spreadsheetml/2017/richdata2" ref="A315:J323">
    <sortCondition ref="A315:A323"/>
  </sortState>
  <mergeCells count="80">
    <mergeCell ref="A493:B493"/>
    <mergeCell ref="A495:B495"/>
    <mergeCell ref="A490:B490"/>
    <mergeCell ref="A483:B483"/>
    <mergeCell ref="A485:B485"/>
    <mergeCell ref="A488:B488"/>
    <mergeCell ref="A489:B489"/>
    <mergeCell ref="A478:B478"/>
    <mergeCell ref="A473:B473"/>
    <mergeCell ref="A199:B199"/>
    <mergeCell ref="A208:B208"/>
    <mergeCell ref="A474:B474"/>
    <mergeCell ref="A476:B476"/>
    <mergeCell ref="A464:B464"/>
    <mergeCell ref="A465:B465"/>
    <mergeCell ref="A466:B466"/>
    <mergeCell ref="A467:B467"/>
    <mergeCell ref="A470:B470"/>
    <mergeCell ref="A456:B456"/>
    <mergeCell ref="A459:B459"/>
    <mergeCell ref="A463:B463"/>
    <mergeCell ref="A433:B433"/>
    <mergeCell ref="A435:B435"/>
    <mergeCell ref="A437:B437"/>
    <mergeCell ref="A448:B448"/>
    <mergeCell ref="A429:B429"/>
    <mergeCell ref="A431:B431"/>
    <mergeCell ref="A421:B421"/>
    <mergeCell ref="A424:B424"/>
    <mergeCell ref="A427:B427"/>
    <mergeCell ref="A391:B391"/>
    <mergeCell ref="A396:B396"/>
    <mergeCell ref="A409:B409"/>
    <mergeCell ref="A417:B417"/>
    <mergeCell ref="A419:B419"/>
    <mergeCell ref="A340:B340"/>
    <mergeCell ref="A353:B353"/>
    <mergeCell ref="A368:B368"/>
    <mergeCell ref="A382:B382"/>
    <mergeCell ref="A385:B385"/>
    <mergeCell ref="A279:B279"/>
    <mergeCell ref="A298:B298"/>
    <mergeCell ref="A314:B314"/>
    <mergeCell ref="A324:B324"/>
    <mergeCell ref="A319:B319"/>
    <mergeCell ref="A222:B222"/>
    <mergeCell ref="A237:B237"/>
    <mergeCell ref="A242:B242"/>
    <mergeCell ref="A246:B246"/>
    <mergeCell ref="A262:B262"/>
    <mergeCell ref="A162:B162"/>
    <mergeCell ref="A164:B164"/>
    <mergeCell ref="A166:B166"/>
    <mergeCell ref="A177:B177"/>
    <mergeCell ref="A188:B188"/>
    <mergeCell ref="A137:B137"/>
    <mergeCell ref="A139:B139"/>
    <mergeCell ref="A143:B143"/>
    <mergeCell ref="A146:B146"/>
    <mergeCell ref="A154:B154"/>
    <mergeCell ref="A125:B125"/>
    <mergeCell ref="A127:B127"/>
    <mergeCell ref="A129:B129"/>
    <mergeCell ref="A132:B132"/>
    <mergeCell ref="A135:B135"/>
    <mergeCell ref="A100:B100"/>
    <mergeCell ref="A104:B104"/>
    <mergeCell ref="A114:B114"/>
    <mergeCell ref="A123:B123"/>
    <mergeCell ref="A124:B124"/>
    <mergeCell ref="A79:B79"/>
    <mergeCell ref="A86:B86"/>
    <mergeCell ref="A92:B92"/>
    <mergeCell ref="A94:B94"/>
    <mergeCell ref="A96:B96"/>
    <mergeCell ref="A36:B36"/>
    <mergeCell ref="A17:B17"/>
    <mergeCell ref="A46:B46"/>
    <mergeCell ref="A60:B60"/>
    <mergeCell ref="A70:B70"/>
  </mergeCells>
  <phoneticPr fontId="7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4969B8-8FF0-4800-ADCD-232F56D7C821}">
  <dimension ref="A1:C39"/>
  <sheetViews>
    <sheetView workbookViewId="0">
      <pane ySplit="1" topLeftCell="A15" activePane="bottomLeft" state="frozen"/>
      <selection pane="bottomLeft" activeCell="I19" sqref="I19"/>
    </sheetView>
  </sheetViews>
  <sheetFormatPr defaultRowHeight="15"/>
  <cols>
    <col min="1" max="1" width="11.42578125" customWidth="1"/>
    <col min="2" max="2" width="34.28515625" customWidth="1"/>
    <col min="3" max="3" width="15.28515625" customWidth="1"/>
  </cols>
  <sheetData>
    <row r="1" spans="1:3">
      <c r="A1" s="153" t="s">
        <v>329</v>
      </c>
      <c r="B1" s="153" t="s">
        <v>330</v>
      </c>
      <c r="C1" s="153" t="s">
        <v>331</v>
      </c>
    </row>
    <row r="2" spans="1:3">
      <c r="A2" s="154">
        <v>1</v>
      </c>
      <c r="B2" t="s">
        <v>26</v>
      </c>
      <c r="C2" t="s">
        <v>321</v>
      </c>
    </row>
    <row r="3" spans="1:3">
      <c r="A3" s="154">
        <v>2</v>
      </c>
      <c r="B3" t="s">
        <v>79</v>
      </c>
      <c r="C3" t="s">
        <v>323</v>
      </c>
    </row>
    <row r="4" spans="1:3">
      <c r="A4" s="154">
        <v>3</v>
      </c>
      <c r="B4" t="s">
        <v>69</v>
      </c>
      <c r="C4" t="s">
        <v>323</v>
      </c>
    </row>
    <row r="5" spans="1:3">
      <c r="A5" s="154">
        <v>4</v>
      </c>
      <c r="B5" t="s">
        <v>80</v>
      </c>
      <c r="C5" t="s">
        <v>321</v>
      </c>
    </row>
    <row r="6" spans="1:3">
      <c r="A6" s="154">
        <v>5</v>
      </c>
      <c r="B6" t="s">
        <v>78</v>
      </c>
      <c r="C6" t="s">
        <v>325</v>
      </c>
    </row>
    <row r="7" spans="1:3">
      <c r="A7" s="154">
        <v>6</v>
      </c>
      <c r="B7" t="s">
        <v>33</v>
      </c>
      <c r="C7" t="s">
        <v>321</v>
      </c>
    </row>
    <row r="8" spans="1:3">
      <c r="A8" s="154">
        <v>7</v>
      </c>
      <c r="B8" t="s">
        <v>70</v>
      </c>
      <c r="C8" t="s">
        <v>323</v>
      </c>
    </row>
    <row r="9" spans="1:3">
      <c r="A9" s="154">
        <v>8</v>
      </c>
      <c r="B9" t="s">
        <v>39</v>
      </c>
      <c r="C9" t="s">
        <v>321</v>
      </c>
    </row>
    <row r="10" spans="1:3">
      <c r="A10" s="154">
        <v>9</v>
      </c>
      <c r="B10" t="s">
        <v>27</v>
      </c>
      <c r="C10" t="s">
        <v>321</v>
      </c>
    </row>
    <row r="11" spans="1:3">
      <c r="A11" s="154">
        <v>10</v>
      </c>
      <c r="B11" t="s">
        <v>303</v>
      </c>
      <c r="C11" t="s">
        <v>325</v>
      </c>
    </row>
    <row r="12" spans="1:3">
      <c r="A12" s="154">
        <v>11</v>
      </c>
      <c r="B12" t="s">
        <v>38</v>
      </c>
      <c r="C12" t="s">
        <v>321</v>
      </c>
    </row>
    <row r="13" spans="1:3">
      <c r="A13" s="154">
        <v>12</v>
      </c>
      <c r="B13" t="s">
        <v>304</v>
      </c>
      <c r="C13" t="s">
        <v>321</v>
      </c>
    </row>
    <row r="14" spans="1:3">
      <c r="A14" s="154">
        <v>13</v>
      </c>
      <c r="B14" t="s">
        <v>25</v>
      </c>
      <c r="C14" t="s">
        <v>321</v>
      </c>
    </row>
    <row r="15" spans="1:3">
      <c r="A15" s="154">
        <v>14</v>
      </c>
      <c r="B15" t="s">
        <v>32</v>
      </c>
      <c r="C15" t="s">
        <v>321</v>
      </c>
    </row>
    <row r="16" spans="1:3">
      <c r="A16" s="154">
        <v>15</v>
      </c>
      <c r="B16" t="s">
        <v>31</v>
      </c>
      <c r="C16" t="s">
        <v>321</v>
      </c>
    </row>
    <row r="17" spans="1:3">
      <c r="A17" s="154">
        <v>16</v>
      </c>
      <c r="B17" t="s">
        <v>56</v>
      </c>
      <c r="C17" t="s">
        <v>321</v>
      </c>
    </row>
    <row r="18" spans="1:3">
      <c r="A18" s="154">
        <v>17</v>
      </c>
      <c r="B18" t="s">
        <v>55</v>
      </c>
      <c r="C18" t="s">
        <v>321</v>
      </c>
    </row>
    <row r="19" spans="1:3">
      <c r="A19" s="154">
        <v>18</v>
      </c>
      <c r="B19" t="s">
        <v>37</v>
      </c>
      <c r="C19" t="s">
        <v>321</v>
      </c>
    </row>
    <row r="20" spans="1:3">
      <c r="A20" s="154">
        <v>19</v>
      </c>
      <c r="B20" t="s">
        <v>43</v>
      </c>
      <c r="C20" t="s">
        <v>321</v>
      </c>
    </row>
    <row r="21" spans="1:3">
      <c r="A21" s="154">
        <v>20</v>
      </c>
      <c r="B21" t="s">
        <v>307</v>
      </c>
      <c r="C21" t="s">
        <v>323</v>
      </c>
    </row>
    <row r="22" spans="1:3">
      <c r="A22" s="154">
        <v>21</v>
      </c>
      <c r="B22" t="s">
        <v>0</v>
      </c>
      <c r="C22" t="s">
        <v>321</v>
      </c>
    </row>
    <row r="23" spans="1:3">
      <c r="A23" s="154">
        <v>22</v>
      </c>
      <c r="B23" t="s">
        <v>30</v>
      </c>
      <c r="C23" t="s">
        <v>321</v>
      </c>
    </row>
    <row r="24" spans="1:3">
      <c r="A24" s="154">
        <v>23</v>
      </c>
      <c r="B24" t="s">
        <v>62</v>
      </c>
      <c r="C24" t="s">
        <v>325</v>
      </c>
    </row>
    <row r="25" spans="1:3">
      <c r="A25" s="154">
        <v>24</v>
      </c>
      <c r="B25" t="s">
        <v>84</v>
      </c>
      <c r="C25" t="s">
        <v>325</v>
      </c>
    </row>
    <row r="26" spans="1:3">
      <c r="A26" s="154">
        <v>25</v>
      </c>
      <c r="B26" t="s">
        <v>308</v>
      </c>
      <c r="C26" t="s">
        <v>321</v>
      </c>
    </row>
    <row r="27" spans="1:3">
      <c r="A27" s="154">
        <v>26</v>
      </c>
      <c r="B27" t="s">
        <v>64</v>
      </c>
      <c r="C27" t="s">
        <v>321</v>
      </c>
    </row>
    <row r="28" spans="1:3">
      <c r="A28" s="154">
        <v>27</v>
      </c>
      <c r="B28" t="s">
        <v>66</v>
      </c>
      <c r="C28" t="s">
        <v>323</v>
      </c>
    </row>
    <row r="29" spans="1:3">
      <c r="A29" s="154">
        <v>28</v>
      </c>
      <c r="B29" t="s">
        <v>65</v>
      </c>
      <c r="C29" t="s">
        <v>321</v>
      </c>
    </row>
    <row r="30" spans="1:3">
      <c r="A30" s="154">
        <v>29</v>
      </c>
      <c r="B30" t="s">
        <v>67</v>
      </c>
      <c r="C30" t="s">
        <v>325</v>
      </c>
    </row>
    <row r="31" spans="1:3">
      <c r="A31" s="154">
        <v>30</v>
      </c>
      <c r="B31" t="s">
        <v>73</v>
      </c>
      <c r="C31" t="s">
        <v>325</v>
      </c>
    </row>
    <row r="32" spans="1:3">
      <c r="A32" s="154">
        <v>31</v>
      </c>
      <c r="B32" t="s">
        <v>57</v>
      </c>
      <c r="C32" t="s">
        <v>321</v>
      </c>
    </row>
    <row r="33" spans="1:3">
      <c r="A33" s="154">
        <v>32</v>
      </c>
      <c r="B33" t="s">
        <v>71</v>
      </c>
      <c r="C33" t="s">
        <v>323</v>
      </c>
    </row>
    <row r="34" spans="1:3">
      <c r="A34" s="154">
        <v>33</v>
      </c>
      <c r="B34" t="s">
        <v>72</v>
      </c>
      <c r="C34" t="s">
        <v>323</v>
      </c>
    </row>
    <row r="35" spans="1:3">
      <c r="A35" s="154">
        <v>34</v>
      </c>
      <c r="B35" t="s">
        <v>22</v>
      </c>
      <c r="C35" t="s">
        <v>321</v>
      </c>
    </row>
    <row r="36" spans="1:3">
      <c r="A36" s="154">
        <v>35</v>
      </c>
      <c r="B36" t="s">
        <v>68</v>
      </c>
      <c r="C36" t="s">
        <v>325</v>
      </c>
    </row>
    <row r="37" spans="1:3">
      <c r="A37" s="154">
        <v>36</v>
      </c>
      <c r="B37" t="s">
        <v>21</v>
      </c>
      <c r="C37" t="s">
        <v>321</v>
      </c>
    </row>
    <row r="38" spans="1:3">
      <c r="A38" s="154">
        <v>37</v>
      </c>
      <c r="B38" t="s">
        <v>85</v>
      </c>
      <c r="C38" t="s">
        <v>323</v>
      </c>
    </row>
    <row r="39" spans="1:3">
      <c r="A39" s="154">
        <v>38</v>
      </c>
      <c r="B39" t="s">
        <v>86</v>
      </c>
      <c r="C39" t="s">
        <v>321</v>
      </c>
    </row>
  </sheetData>
  <phoneticPr fontId="2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B4503-37B9-4CCC-8C57-8CD63BC963B0}">
  <dimension ref="A1:B146"/>
  <sheetViews>
    <sheetView workbookViewId="0">
      <pane ySplit="1" topLeftCell="A132" activePane="bottomLeft" state="frozen"/>
      <selection pane="bottomLeft"/>
    </sheetView>
  </sheetViews>
  <sheetFormatPr defaultRowHeight="15"/>
  <cols>
    <col min="1" max="1" width="11.42578125" customWidth="1"/>
    <col min="2" max="2" width="66.7109375" customWidth="1"/>
  </cols>
  <sheetData>
    <row r="1" spans="1:2">
      <c r="A1" s="153" t="s">
        <v>332</v>
      </c>
      <c r="B1" s="153" t="s">
        <v>333</v>
      </c>
    </row>
    <row r="2" spans="1:2">
      <c r="A2" s="154">
        <v>1</v>
      </c>
      <c r="B2" t="s">
        <v>334</v>
      </c>
    </row>
    <row r="3" spans="1:2">
      <c r="A3" s="154">
        <v>2</v>
      </c>
      <c r="B3" t="s">
        <v>335</v>
      </c>
    </row>
    <row r="4" spans="1:2">
      <c r="A4" s="154">
        <v>3</v>
      </c>
      <c r="B4" t="s">
        <v>36</v>
      </c>
    </row>
    <row r="5" spans="1:2">
      <c r="A5" s="154">
        <v>4</v>
      </c>
      <c r="B5" t="s">
        <v>76</v>
      </c>
    </row>
    <row r="6" spans="1:2">
      <c r="A6" s="154">
        <v>5</v>
      </c>
      <c r="B6" t="s">
        <v>77</v>
      </c>
    </row>
    <row r="7" spans="1:2">
      <c r="A7" s="154">
        <v>6</v>
      </c>
      <c r="B7" t="s">
        <v>7</v>
      </c>
    </row>
    <row r="8" spans="1:2">
      <c r="A8" s="154">
        <v>7</v>
      </c>
      <c r="B8" t="s">
        <v>16</v>
      </c>
    </row>
    <row r="9" spans="1:2">
      <c r="A9" s="154">
        <v>8</v>
      </c>
      <c r="B9" t="s">
        <v>45</v>
      </c>
    </row>
    <row r="10" spans="1:2">
      <c r="A10" s="154">
        <v>9</v>
      </c>
      <c r="B10" t="s">
        <v>11</v>
      </c>
    </row>
    <row r="11" spans="1:2">
      <c r="A11" s="154">
        <v>10</v>
      </c>
      <c r="B11" t="s">
        <v>46</v>
      </c>
    </row>
    <row r="12" spans="1:2">
      <c r="A12" s="154">
        <v>11</v>
      </c>
      <c r="B12" t="s">
        <v>12</v>
      </c>
    </row>
    <row r="13" spans="1:2">
      <c r="A13" s="154">
        <v>12</v>
      </c>
      <c r="B13" t="s">
        <v>52</v>
      </c>
    </row>
    <row r="14" spans="1:2">
      <c r="A14" s="154">
        <v>13</v>
      </c>
      <c r="B14" t="s">
        <v>3</v>
      </c>
    </row>
    <row r="15" spans="1:2">
      <c r="A15" s="154">
        <v>14</v>
      </c>
      <c r="B15" t="s">
        <v>23</v>
      </c>
    </row>
    <row r="16" spans="1:2">
      <c r="A16" s="154">
        <v>15</v>
      </c>
      <c r="B16" t="s">
        <v>29</v>
      </c>
    </row>
    <row r="17" spans="1:2">
      <c r="A17" s="154">
        <v>16</v>
      </c>
      <c r="B17" t="s">
        <v>40</v>
      </c>
    </row>
    <row r="18" spans="1:2">
      <c r="A18" s="154">
        <v>17</v>
      </c>
      <c r="B18" t="s">
        <v>47</v>
      </c>
    </row>
    <row r="19" spans="1:2">
      <c r="A19" s="154">
        <v>18</v>
      </c>
      <c r="B19" t="s">
        <v>28</v>
      </c>
    </row>
    <row r="20" spans="1:2">
      <c r="A20" s="154">
        <v>19</v>
      </c>
      <c r="B20" t="s">
        <v>48</v>
      </c>
    </row>
    <row r="21" spans="1:2">
      <c r="A21" s="154">
        <v>20</v>
      </c>
      <c r="B21" t="s">
        <v>2</v>
      </c>
    </row>
    <row r="22" spans="1:2">
      <c r="A22" s="154">
        <v>21</v>
      </c>
      <c r="B22" t="s">
        <v>49</v>
      </c>
    </row>
    <row r="23" spans="1:2">
      <c r="A23" s="154">
        <v>22</v>
      </c>
      <c r="B23" t="s">
        <v>10</v>
      </c>
    </row>
    <row r="24" spans="1:2">
      <c r="A24" s="154">
        <v>23</v>
      </c>
      <c r="B24" t="s">
        <v>58</v>
      </c>
    </row>
    <row r="25" spans="1:2">
      <c r="A25" s="154">
        <v>24</v>
      </c>
      <c r="B25" t="s">
        <v>6</v>
      </c>
    </row>
    <row r="26" spans="1:2">
      <c r="A26" s="154">
        <v>25</v>
      </c>
      <c r="B26" t="s">
        <v>53</v>
      </c>
    </row>
    <row r="27" spans="1:2">
      <c r="A27" s="154">
        <v>26</v>
      </c>
      <c r="B27" t="s">
        <v>74</v>
      </c>
    </row>
    <row r="28" spans="1:2">
      <c r="A28" s="154">
        <v>27</v>
      </c>
      <c r="B28" t="s">
        <v>82</v>
      </c>
    </row>
    <row r="29" spans="1:2">
      <c r="A29" s="154">
        <v>28</v>
      </c>
      <c r="B29" t="s">
        <v>75</v>
      </c>
    </row>
    <row r="30" spans="1:2">
      <c r="A30" s="154">
        <v>29</v>
      </c>
      <c r="B30" t="s">
        <v>83</v>
      </c>
    </row>
    <row r="31" spans="1:2">
      <c r="A31" s="154">
        <v>30</v>
      </c>
      <c r="B31" t="s">
        <v>24</v>
      </c>
    </row>
    <row r="32" spans="1:2">
      <c r="A32" s="154">
        <v>31</v>
      </c>
      <c r="B32" t="s">
        <v>54</v>
      </c>
    </row>
    <row r="33" spans="1:2">
      <c r="A33" s="154">
        <v>32</v>
      </c>
      <c r="B33" t="s">
        <v>35</v>
      </c>
    </row>
    <row r="34" spans="1:2">
      <c r="A34" s="154">
        <v>33</v>
      </c>
      <c r="B34" t="s">
        <v>14</v>
      </c>
    </row>
    <row r="35" spans="1:2">
      <c r="A35" s="154">
        <v>34</v>
      </c>
      <c r="B35" t="s">
        <v>41</v>
      </c>
    </row>
    <row r="36" spans="1:2">
      <c r="A36" s="154">
        <v>35</v>
      </c>
      <c r="B36" t="s">
        <v>42</v>
      </c>
    </row>
    <row r="37" spans="1:2">
      <c r="A37" s="154">
        <v>36</v>
      </c>
      <c r="B37" t="s">
        <v>34</v>
      </c>
    </row>
    <row r="38" spans="1:2">
      <c r="A38" s="154">
        <v>37</v>
      </c>
      <c r="B38" t="s">
        <v>61</v>
      </c>
    </row>
    <row r="39" spans="1:2">
      <c r="A39" s="154">
        <v>38</v>
      </c>
      <c r="B39" t="s">
        <v>17</v>
      </c>
    </row>
    <row r="40" spans="1:2">
      <c r="A40" s="154">
        <v>39</v>
      </c>
      <c r="B40" t="s">
        <v>18</v>
      </c>
    </row>
    <row r="41" spans="1:2">
      <c r="A41" s="154">
        <v>40</v>
      </c>
      <c r="B41" t="s">
        <v>336</v>
      </c>
    </row>
    <row r="42" spans="1:2">
      <c r="A42" s="154">
        <v>41</v>
      </c>
      <c r="B42" t="s">
        <v>44</v>
      </c>
    </row>
    <row r="43" spans="1:2">
      <c r="A43" s="154">
        <v>42</v>
      </c>
      <c r="B43" t="s">
        <v>1</v>
      </c>
    </row>
    <row r="44" spans="1:2">
      <c r="A44" s="154">
        <v>43</v>
      </c>
      <c r="B44" t="s">
        <v>20</v>
      </c>
    </row>
    <row r="45" spans="1:2">
      <c r="A45" s="154">
        <v>44</v>
      </c>
      <c r="B45" t="s">
        <v>19</v>
      </c>
    </row>
    <row r="46" spans="1:2">
      <c r="A46" s="154">
        <v>45</v>
      </c>
      <c r="B46" t="s">
        <v>50</v>
      </c>
    </row>
    <row r="47" spans="1:2">
      <c r="A47" s="154">
        <v>46</v>
      </c>
      <c r="B47" t="s">
        <v>15</v>
      </c>
    </row>
    <row r="48" spans="1:2">
      <c r="A48" s="154">
        <v>47</v>
      </c>
      <c r="B48" t="s">
        <v>4</v>
      </c>
    </row>
    <row r="49" spans="1:2">
      <c r="A49" s="154">
        <v>48</v>
      </c>
      <c r="B49" t="s">
        <v>5</v>
      </c>
    </row>
    <row r="50" spans="1:2">
      <c r="A50" s="154">
        <v>49</v>
      </c>
      <c r="B50" t="s">
        <v>13</v>
      </c>
    </row>
    <row r="51" spans="1:2">
      <c r="A51" s="154">
        <v>50</v>
      </c>
      <c r="B51" t="s">
        <v>59</v>
      </c>
    </row>
    <row r="52" spans="1:2">
      <c r="A52" s="154">
        <v>51</v>
      </c>
      <c r="B52" t="s">
        <v>60</v>
      </c>
    </row>
    <row r="53" spans="1:2">
      <c r="A53" s="154">
        <v>52</v>
      </c>
      <c r="B53" t="s">
        <v>337</v>
      </c>
    </row>
    <row r="54" spans="1:2">
      <c r="A54" s="154">
        <v>53</v>
      </c>
      <c r="B54" t="s">
        <v>338</v>
      </c>
    </row>
    <row r="55" spans="1:2">
      <c r="A55" s="154">
        <v>54</v>
      </c>
      <c r="B55" t="s">
        <v>339</v>
      </c>
    </row>
    <row r="56" spans="1:2">
      <c r="A56" s="154">
        <v>55</v>
      </c>
      <c r="B56" t="s">
        <v>340</v>
      </c>
    </row>
    <row r="57" spans="1:2">
      <c r="A57" s="154">
        <v>56</v>
      </c>
      <c r="B57" t="s">
        <v>341</v>
      </c>
    </row>
    <row r="58" spans="1:2">
      <c r="A58" s="154">
        <v>57</v>
      </c>
      <c r="B58" t="s">
        <v>342</v>
      </c>
    </row>
    <row r="59" spans="1:2">
      <c r="A59" s="154">
        <v>58</v>
      </c>
      <c r="B59" t="s">
        <v>343</v>
      </c>
    </row>
    <row r="60" spans="1:2">
      <c r="A60" s="154">
        <v>59</v>
      </c>
      <c r="B60" t="s">
        <v>344</v>
      </c>
    </row>
    <row r="61" spans="1:2">
      <c r="A61" s="154">
        <v>60</v>
      </c>
      <c r="B61" t="s">
        <v>345</v>
      </c>
    </row>
    <row r="62" spans="1:2">
      <c r="A62" s="154">
        <v>61</v>
      </c>
      <c r="B62" t="s">
        <v>346</v>
      </c>
    </row>
    <row r="63" spans="1:2">
      <c r="A63" s="154">
        <v>62</v>
      </c>
      <c r="B63" t="s">
        <v>347</v>
      </c>
    </row>
    <row r="64" spans="1:2">
      <c r="A64" s="154">
        <v>63</v>
      </c>
      <c r="B64" t="s">
        <v>348</v>
      </c>
    </row>
    <row r="65" spans="1:2">
      <c r="A65" s="154">
        <v>64</v>
      </c>
      <c r="B65" t="s">
        <v>349</v>
      </c>
    </row>
    <row r="66" spans="1:2">
      <c r="A66" s="154">
        <v>65</v>
      </c>
      <c r="B66" t="s">
        <v>350</v>
      </c>
    </row>
    <row r="67" spans="1:2">
      <c r="A67" s="154">
        <v>66</v>
      </c>
      <c r="B67" t="s">
        <v>351</v>
      </c>
    </row>
    <row r="68" spans="1:2">
      <c r="A68" s="154">
        <v>67</v>
      </c>
      <c r="B68" t="s">
        <v>352</v>
      </c>
    </row>
    <row r="69" spans="1:2">
      <c r="A69" s="154">
        <v>68</v>
      </c>
      <c r="B69" t="s">
        <v>353</v>
      </c>
    </row>
    <row r="70" spans="1:2">
      <c r="A70" s="154">
        <v>69</v>
      </c>
      <c r="B70" t="s">
        <v>354</v>
      </c>
    </row>
    <row r="71" spans="1:2">
      <c r="A71" s="154">
        <v>70</v>
      </c>
      <c r="B71" t="s">
        <v>355</v>
      </c>
    </row>
    <row r="72" spans="1:2">
      <c r="A72" s="154">
        <v>71</v>
      </c>
      <c r="B72" t="s">
        <v>356</v>
      </c>
    </row>
    <row r="73" spans="1:2">
      <c r="A73" s="154">
        <v>72</v>
      </c>
      <c r="B73" t="s">
        <v>357</v>
      </c>
    </row>
    <row r="74" spans="1:2">
      <c r="A74" s="154">
        <v>73</v>
      </c>
      <c r="B74" t="s">
        <v>358</v>
      </c>
    </row>
    <row r="75" spans="1:2">
      <c r="A75" s="154">
        <v>74</v>
      </c>
      <c r="B75" t="s">
        <v>359</v>
      </c>
    </row>
    <row r="76" spans="1:2">
      <c r="A76" s="154">
        <v>75</v>
      </c>
      <c r="B76" t="s">
        <v>360</v>
      </c>
    </row>
    <row r="77" spans="1:2">
      <c r="A77" s="154">
        <v>76</v>
      </c>
      <c r="B77" t="s">
        <v>361</v>
      </c>
    </row>
    <row r="78" spans="1:2">
      <c r="A78" s="154">
        <v>77</v>
      </c>
      <c r="B78" t="s">
        <v>362</v>
      </c>
    </row>
    <row r="79" spans="1:2">
      <c r="A79" s="154">
        <v>78</v>
      </c>
      <c r="B79" t="s">
        <v>363</v>
      </c>
    </row>
    <row r="80" spans="1:2">
      <c r="A80" s="154">
        <v>79</v>
      </c>
      <c r="B80" t="s">
        <v>364</v>
      </c>
    </row>
    <row r="81" spans="1:2">
      <c r="A81" s="154">
        <v>80</v>
      </c>
      <c r="B81" t="s">
        <v>365</v>
      </c>
    </row>
    <row r="82" spans="1:2">
      <c r="A82" s="154">
        <v>81</v>
      </c>
      <c r="B82" t="s">
        <v>366</v>
      </c>
    </row>
    <row r="83" spans="1:2">
      <c r="A83" s="154">
        <v>82</v>
      </c>
      <c r="B83" t="s">
        <v>367</v>
      </c>
    </row>
    <row r="84" spans="1:2">
      <c r="A84" s="154">
        <v>83</v>
      </c>
      <c r="B84" t="s">
        <v>368</v>
      </c>
    </row>
    <row r="85" spans="1:2">
      <c r="A85" s="154">
        <v>84</v>
      </c>
      <c r="B85" t="s">
        <v>369</v>
      </c>
    </row>
    <row r="86" spans="1:2">
      <c r="A86" s="154">
        <v>85</v>
      </c>
      <c r="B86" t="s">
        <v>370</v>
      </c>
    </row>
    <row r="87" spans="1:2">
      <c r="A87" s="154">
        <v>86</v>
      </c>
      <c r="B87" t="s">
        <v>371</v>
      </c>
    </row>
    <row r="88" spans="1:2">
      <c r="A88" s="154">
        <v>87</v>
      </c>
      <c r="B88" t="s">
        <v>372</v>
      </c>
    </row>
    <row r="89" spans="1:2">
      <c r="A89" s="154">
        <v>88</v>
      </c>
      <c r="B89" t="s">
        <v>373</v>
      </c>
    </row>
    <row r="90" spans="1:2">
      <c r="A90" s="154">
        <v>89</v>
      </c>
      <c r="B90" t="s">
        <v>374</v>
      </c>
    </row>
    <row r="91" spans="1:2">
      <c r="A91" s="154">
        <v>90</v>
      </c>
      <c r="B91" t="s">
        <v>375</v>
      </c>
    </row>
    <row r="92" spans="1:2">
      <c r="A92" s="154">
        <v>91</v>
      </c>
      <c r="B92" t="s">
        <v>376</v>
      </c>
    </row>
    <row r="93" spans="1:2">
      <c r="A93" s="154">
        <v>92</v>
      </c>
      <c r="B93" t="s">
        <v>377</v>
      </c>
    </row>
    <row r="94" spans="1:2">
      <c r="A94" s="154">
        <v>93</v>
      </c>
      <c r="B94" t="s">
        <v>378</v>
      </c>
    </row>
    <row r="95" spans="1:2">
      <c r="A95" s="154">
        <v>94</v>
      </c>
      <c r="B95" t="s">
        <v>379</v>
      </c>
    </row>
    <row r="96" spans="1:2">
      <c r="A96" s="154">
        <v>95</v>
      </c>
      <c r="B96" t="s">
        <v>380</v>
      </c>
    </row>
    <row r="97" spans="1:2">
      <c r="A97" s="154">
        <v>96</v>
      </c>
      <c r="B97" t="s">
        <v>381</v>
      </c>
    </row>
    <row r="98" spans="1:2">
      <c r="A98" s="154">
        <v>97</v>
      </c>
      <c r="B98" t="s">
        <v>382</v>
      </c>
    </row>
    <row r="99" spans="1:2">
      <c r="A99" s="154">
        <v>98</v>
      </c>
      <c r="B99" t="s">
        <v>383</v>
      </c>
    </row>
    <row r="100" spans="1:2">
      <c r="A100" s="154">
        <v>99</v>
      </c>
      <c r="B100" t="s">
        <v>384</v>
      </c>
    </row>
    <row r="101" spans="1:2">
      <c r="A101" s="154">
        <v>100</v>
      </c>
      <c r="B101" t="s">
        <v>385</v>
      </c>
    </row>
    <row r="102" spans="1:2">
      <c r="A102" s="154">
        <v>101</v>
      </c>
      <c r="B102" t="s">
        <v>386</v>
      </c>
    </row>
    <row r="103" spans="1:2">
      <c r="A103" s="154">
        <v>102</v>
      </c>
      <c r="B103" t="s">
        <v>387</v>
      </c>
    </row>
    <row r="104" spans="1:2">
      <c r="A104" s="154">
        <v>103</v>
      </c>
      <c r="B104" t="s">
        <v>388</v>
      </c>
    </row>
    <row r="105" spans="1:2">
      <c r="A105" s="154">
        <v>104</v>
      </c>
      <c r="B105" t="s">
        <v>389</v>
      </c>
    </row>
    <row r="106" spans="1:2">
      <c r="A106" s="154">
        <v>105</v>
      </c>
      <c r="B106" t="s">
        <v>390</v>
      </c>
    </row>
    <row r="107" spans="1:2">
      <c r="A107" s="154">
        <v>106</v>
      </c>
      <c r="B107" t="s">
        <v>391</v>
      </c>
    </row>
    <row r="108" spans="1:2">
      <c r="A108" s="154">
        <v>107</v>
      </c>
      <c r="B108" t="s">
        <v>392</v>
      </c>
    </row>
    <row r="109" spans="1:2">
      <c r="A109" s="154">
        <v>108</v>
      </c>
      <c r="B109" t="s">
        <v>393</v>
      </c>
    </row>
    <row r="110" spans="1:2">
      <c r="A110" s="154">
        <v>109</v>
      </c>
      <c r="B110" t="s">
        <v>394</v>
      </c>
    </row>
    <row r="111" spans="1:2">
      <c r="A111" s="154">
        <v>110</v>
      </c>
      <c r="B111" t="s">
        <v>395</v>
      </c>
    </row>
    <row r="112" spans="1:2">
      <c r="A112" s="154">
        <v>111</v>
      </c>
      <c r="B112" t="s">
        <v>396</v>
      </c>
    </row>
    <row r="113" spans="1:2">
      <c r="A113" s="154">
        <v>112</v>
      </c>
      <c r="B113" t="s">
        <v>397</v>
      </c>
    </row>
    <row r="114" spans="1:2">
      <c r="A114" s="154">
        <v>113</v>
      </c>
      <c r="B114" t="s">
        <v>398</v>
      </c>
    </row>
    <row r="115" spans="1:2">
      <c r="A115" s="154">
        <v>114</v>
      </c>
      <c r="B115" t="s">
        <v>399</v>
      </c>
    </row>
    <row r="116" spans="1:2">
      <c r="A116" s="154">
        <v>115</v>
      </c>
      <c r="B116" t="s">
        <v>400</v>
      </c>
    </row>
    <row r="117" spans="1:2">
      <c r="A117" s="154">
        <v>116</v>
      </c>
      <c r="B117" t="s">
        <v>401</v>
      </c>
    </row>
    <row r="118" spans="1:2">
      <c r="A118" s="154">
        <v>117</v>
      </c>
      <c r="B118" t="s">
        <v>402</v>
      </c>
    </row>
    <row r="119" spans="1:2">
      <c r="A119" s="154">
        <v>118</v>
      </c>
      <c r="B119" t="s">
        <v>403</v>
      </c>
    </row>
    <row r="120" spans="1:2">
      <c r="A120" s="154">
        <v>119</v>
      </c>
      <c r="B120" t="s">
        <v>404</v>
      </c>
    </row>
    <row r="121" spans="1:2">
      <c r="A121" s="154">
        <v>120</v>
      </c>
      <c r="B121" t="s">
        <v>405</v>
      </c>
    </row>
    <row r="122" spans="1:2">
      <c r="A122" s="154">
        <v>121</v>
      </c>
      <c r="B122" t="s">
        <v>406</v>
      </c>
    </row>
    <row r="123" spans="1:2">
      <c r="A123" s="154">
        <v>122</v>
      </c>
      <c r="B123" t="s">
        <v>407</v>
      </c>
    </row>
    <row r="124" spans="1:2">
      <c r="A124" s="154">
        <v>123</v>
      </c>
      <c r="B124" t="s">
        <v>408</v>
      </c>
    </row>
    <row r="125" spans="1:2">
      <c r="A125" s="154">
        <v>124</v>
      </c>
      <c r="B125" t="s">
        <v>409</v>
      </c>
    </row>
    <row r="126" spans="1:2">
      <c r="A126" s="154">
        <v>125</v>
      </c>
      <c r="B126" t="s">
        <v>410</v>
      </c>
    </row>
    <row r="127" spans="1:2">
      <c r="A127" s="154">
        <v>126</v>
      </c>
      <c r="B127" t="s">
        <v>411</v>
      </c>
    </row>
    <row r="128" spans="1:2">
      <c r="A128" s="154">
        <v>127</v>
      </c>
      <c r="B128" t="s">
        <v>412</v>
      </c>
    </row>
    <row r="129" spans="1:2">
      <c r="A129" s="154">
        <v>128</v>
      </c>
      <c r="B129" t="s">
        <v>413</v>
      </c>
    </row>
    <row r="130" spans="1:2">
      <c r="A130" s="154">
        <v>129</v>
      </c>
      <c r="B130" t="s">
        <v>414</v>
      </c>
    </row>
    <row r="131" spans="1:2">
      <c r="A131" s="154">
        <v>130</v>
      </c>
      <c r="B131" t="s">
        <v>415</v>
      </c>
    </row>
    <row r="132" spans="1:2">
      <c r="A132" s="154">
        <v>131</v>
      </c>
      <c r="B132" t="s">
        <v>416</v>
      </c>
    </row>
    <row r="133" spans="1:2">
      <c r="A133" s="154">
        <v>132</v>
      </c>
      <c r="B133" t="s">
        <v>417</v>
      </c>
    </row>
    <row r="134" spans="1:2">
      <c r="A134" s="154">
        <v>133</v>
      </c>
      <c r="B134" t="s">
        <v>418</v>
      </c>
    </row>
    <row r="135" spans="1:2">
      <c r="A135" s="154">
        <v>134</v>
      </c>
      <c r="B135" t="s">
        <v>419</v>
      </c>
    </row>
    <row r="136" spans="1:2">
      <c r="A136" s="154">
        <v>135</v>
      </c>
      <c r="B136" t="s">
        <v>420</v>
      </c>
    </row>
    <row r="137" spans="1:2">
      <c r="A137" s="154">
        <v>136</v>
      </c>
      <c r="B137" t="s">
        <v>421</v>
      </c>
    </row>
    <row r="138" spans="1:2">
      <c r="A138" s="154">
        <v>137</v>
      </c>
      <c r="B138" t="s">
        <v>422</v>
      </c>
    </row>
    <row r="139" spans="1:2">
      <c r="A139" s="154">
        <v>138</v>
      </c>
      <c r="B139" t="s">
        <v>423</v>
      </c>
    </row>
    <row r="140" spans="1:2">
      <c r="A140" s="154">
        <v>139</v>
      </c>
      <c r="B140" t="s">
        <v>424</v>
      </c>
    </row>
    <row r="141" spans="1:2">
      <c r="A141" s="154">
        <v>140</v>
      </c>
      <c r="B141" t="s">
        <v>425</v>
      </c>
    </row>
    <row r="142" spans="1:2">
      <c r="A142" s="154">
        <v>141</v>
      </c>
      <c r="B142" t="s">
        <v>426</v>
      </c>
    </row>
    <row r="143" spans="1:2">
      <c r="A143" s="154">
        <v>142</v>
      </c>
      <c r="B143" t="s">
        <v>427</v>
      </c>
    </row>
    <row r="144" spans="1:2">
      <c r="A144" s="154">
        <v>143</v>
      </c>
      <c r="B144" t="s">
        <v>428</v>
      </c>
    </row>
    <row r="145" spans="1:2">
      <c r="A145" s="154">
        <v>144</v>
      </c>
      <c r="B145" t="s">
        <v>429</v>
      </c>
    </row>
    <row r="146" spans="1:2">
      <c r="A146" s="154">
        <v>145</v>
      </c>
      <c r="B146" t="s">
        <v>430</v>
      </c>
    </row>
  </sheetData>
  <phoneticPr fontId="2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BA54C8-E23B-4C42-8435-249209D50B24}">
  <dimension ref="A1:N414"/>
  <sheetViews>
    <sheetView tabSelected="1" zoomScale="85" zoomScaleNormal="85" workbookViewId="0">
      <pane ySplit="1" topLeftCell="A80" activePane="bottomLeft" state="frozen"/>
      <selection pane="bottomLeft" activeCell="J22" sqref="J22"/>
    </sheetView>
  </sheetViews>
  <sheetFormatPr defaultRowHeight="15"/>
  <cols>
    <col min="1" max="1" width="7.5703125" style="157" customWidth="1"/>
    <col min="2" max="2" width="8.5703125" style="157" customWidth="1"/>
    <col min="3" max="3" width="11.42578125" style="157" customWidth="1"/>
    <col min="4" max="4" width="30.42578125" style="157" customWidth="1"/>
    <col min="5" max="5" width="9.5703125" style="157" customWidth="1"/>
    <col min="6" max="6" width="57.140625" style="157" customWidth="1"/>
    <col min="7" max="7" width="11.42578125" style="157" customWidth="1"/>
    <col min="8" max="8" width="15.28515625" style="157" customWidth="1"/>
    <col min="9" max="9" width="19" style="157" customWidth="1"/>
    <col min="10" max="10" width="15.28515625" style="157" customWidth="1"/>
    <col min="11" max="12" width="19" style="157" customWidth="1"/>
    <col min="13" max="13" width="15.28515625" style="157" customWidth="1"/>
    <col min="14" max="14" width="13.28515625" style="157" customWidth="1"/>
  </cols>
  <sheetData>
    <row r="1" spans="1:14">
      <c r="A1" s="155" t="s">
        <v>431</v>
      </c>
      <c r="B1" s="155" t="s">
        <v>432</v>
      </c>
      <c r="C1" s="155" t="s">
        <v>329</v>
      </c>
      <c r="D1" s="155" t="s">
        <v>330</v>
      </c>
      <c r="E1" s="155" t="s">
        <v>332</v>
      </c>
      <c r="F1" s="155" t="s">
        <v>333</v>
      </c>
      <c r="G1" s="155" t="s">
        <v>433</v>
      </c>
      <c r="H1" s="155" t="s">
        <v>434</v>
      </c>
      <c r="I1" s="155" t="s">
        <v>435</v>
      </c>
      <c r="J1" s="155" t="s">
        <v>436</v>
      </c>
      <c r="K1" s="155" t="s">
        <v>437</v>
      </c>
      <c r="L1" s="155" t="s">
        <v>438</v>
      </c>
      <c r="M1" s="155" t="s">
        <v>439</v>
      </c>
      <c r="N1" s="155" t="s">
        <v>331</v>
      </c>
    </row>
    <row r="2" spans="1:14">
      <c r="A2" s="156">
        <v>1</v>
      </c>
      <c r="B2" s="157" t="s">
        <v>440</v>
      </c>
      <c r="C2" s="156">
        <v>21</v>
      </c>
      <c r="D2" s="157" t="s">
        <v>0</v>
      </c>
      <c r="E2" s="156">
        <v>40</v>
      </c>
      <c r="F2" s="157" t="s">
        <v>336</v>
      </c>
      <c r="G2" s="158">
        <v>1</v>
      </c>
      <c r="H2" s="158">
        <v>500000</v>
      </c>
      <c r="I2" s="158">
        <v>500000</v>
      </c>
      <c r="J2" s="158">
        <v>454545</v>
      </c>
      <c r="K2" s="158">
        <v>454545</v>
      </c>
      <c r="L2" s="158">
        <v>45455</v>
      </c>
      <c r="M2" s="159">
        <v>9.0910000000000005E-2</v>
      </c>
      <c r="N2" s="157" t="s">
        <v>321</v>
      </c>
    </row>
    <row r="3" spans="1:14">
      <c r="A3" s="156">
        <v>2</v>
      </c>
      <c r="B3" s="157" t="s">
        <v>440</v>
      </c>
      <c r="C3" s="156">
        <v>21</v>
      </c>
      <c r="D3" s="157" t="s">
        <v>0</v>
      </c>
      <c r="E3" s="156">
        <v>58</v>
      </c>
      <c r="F3" s="157" t="s">
        <v>343</v>
      </c>
      <c r="G3" s="158">
        <v>50</v>
      </c>
      <c r="H3" s="158">
        <v>17711</v>
      </c>
      <c r="I3" s="158">
        <v>885545</v>
      </c>
      <c r="J3" s="158">
        <v>13637</v>
      </c>
      <c r="K3" s="158">
        <v>681850</v>
      </c>
      <c r="L3" s="158">
        <v>203695</v>
      </c>
      <c r="M3" s="159">
        <v>0.23002218972497199</v>
      </c>
      <c r="N3" s="157" t="s">
        <v>321</v>
      </c>
    </row>
    <row r="4" spans="1:14">
      <c r="A4" s="156">
        <v>3</v>
      </c>
      <c r="B4" s="157" t="s">
        <v>440</v>
      </c>
      <c r="C4" s="156">
        <v>21</v>
      </c>
      <c r="D4" s="157" t="s">
        <v>0</v>
      </c>
      <c r="E4" s="156">
        <v>59</v>
      </c>
      <c r="F4" s="157" t="s">
        <v>344</v>
      </c>
      <c r="G4" s="158">
        <v>30</v>
      </c>
      <c r="H4" s="158">
        <v>20659</v>
      </c>
      <c r="I4" s="158">
        <v>619773</v>
      </c>
      <c r="J4" s="158">
        <v>15907</v>
      </c>
      <c r="K4" s="158">
        <v>477210</v>
      </c>
      <c r="L4" s="158">
        <v>142563</v>
      </c>
      <c r="M4" s="159">
        <v>0.230024541243326</v>
      </c>
      <c r="N4" s="157" t="s">
        <v>321</v>
      </c>
    </row>
    <row r="5" spans="1:14">
      <c r="A5" s="156">
        <v>4</v>
      </c>
      <c r="B5" s="157" t="s">
        <v>440</v>
      </c>
      <c r="C5" s="156">
        <v>21</v>
      </c>
      <c r="D5" s="157" t="s">
        <v>0</v>
      </c>
      <c r="E5" s="156">
        <v>60</v>
      </c>
      <c r="F5" s="157" t="s">
        <v>345</v>
      </c>
      <c r="G5" s="158">
        <v>60</v>
      </c>
      <c r="H5" s="158">
        <v>25740</v>
      </c>
      <c r="I5" s="158">
        <v>1544400</v>
      </c>
      <c r="J5" s="158">
        <v>19820</v>
      </c>
      <c r="K5" s="158">
        <v>1189200</v>
      </c>
      <c r="L5" s="158">
        <v>355200</v>
      </c>
      <c r="M5" s="159">
        <v>0.22999222999223001</v>
      </c>
      <c r="N5" s="157" t="s">
        <v>321</v>
      </c>
    </row>
    <row r="6" spans="1:14">
      <c r="A6" s="156">
        <v>5</v>
      </c>
      <c r="B6" s="157" t="s">
        <v>440</v>
      </c>
      <c r="C6" s="156">
        <v>21</v>
      </c>
      <c r="D6" s="157" t="s">
        <v>0</v>
      </c>
      <c r="E6" s="156">
        <v>55</v>
      </c>
      <c r="F6" s="157" t="s">
        <v>340</v>
      </c>
      <c r="G6" s="158">
        <v>20</v>
      </c>
      <c r="H6" s="158">
        <v>38846</v>
      </c>
      <c r="I6" s="158">
        <v>776927</v>
      </c>
      <c r="J6" s="158">
        <v>29911</v>
      </c>
      <c r="K6" s="158">
        <v>598220</v>
      </c>
      <c r="L6" s="158">
        <v>178707</v>
      </c>
      <c r="M6" s="159">
        <v>0.23001774941532499</v>
      </c>
      <c r="N6" s="157" t="s">
        <v>321</v>
      </c>
    </row>
    <row r="7" spans="1:14">
      <c r="A7" s="156">
        <v>6</v>
      </c>
      <c r="B7" s="157" t="s">
        <v>440</v>
      </c>
      <c r="C7" s="156">
        <v>21</v>
      </c>
      <c r="D7" s="157" t="s">
        <v>0</v>
      </c>
      <c r="E7" s="156">
        <v>42</v>
      </c>
      <c r="F7" s="157" t="s">
        <v>1</v>
      </c>
      <c r="G7" s="158">
        <v>810</v>
      </c>
      <c r="H7" s="158">
        <v>4964</v>
      </c>
      <c r="I7" s="158">
        <v>4020545</v>
      </c>
      <c r="J7" s="158">
        <v>3600</v>
      </c>
      <c r="K7" s="158">
        <v>2916000</v>
      </c>
      <c r="L7" s="158">
        <v>1104545</v>
      </c>
      <c r="M7" s="159">
        <v>0.27472519272884599</v>
      </c>
      <c r="N7" s="157" t="s">
        <v>321</v>
      </c>
    </row>
    <row r="8" spans="1:14">
      <c r="A8" s="156">
        <v>7</v>
      </c>
      <c r="B8" s="157" t="s">
        <v>440</v>
      </c>
      <c r="C8" s="156">
        <v>21</v>
      </c>
      <c r="D8" s="157" t="s">
        <v>0</v>
      </c>
      <c r="E8" s="156">
        <v>20</v>
      </c>
      <c r="F8" s="157" t="s">
        <v>2</v>
      </c>
      <c r="G8" s="158">
        <v>60</v>
      </c>
      <c r="H8" s="158">
        <v>11500</v>
      </c>
      <c r="I8" s="158">
        <v>690000</v>
      </c>
      <c r="J8" s="158">
        <v>11300</v>
      </c>
      <c r="K8" s="158">
        <v>678000</v>
      </c>
      <c r="L8" s="158">
        <v>12000</v>
      </c>
      <c r="M8" s="159">
        <v>1.7391304347826101E-2</v>
      </c>
      <c r="N8" s="157" t="s">
        <v>321</v>
      </c>
    </row>
    <row r="9" spans="1:14">
      <c r="A9" s="156">
        <v>8</v>
      </c>
      <c r="B9" s="157" t="s">
        <v>440</v>
      </c>
      <c r="C9" s="156">
        <v>21</v>
      </c>
      <c r="D9" s="157" t="s">
        <v>0</v>
      </c>
      <c r="E9" s="156">
        <v>13</v>
      </c>
      <c r="F9" s="157" t="s">
        <v>3</v>
      </c>
      <c r="G9" s="158">
        <v>768</v>
      </c>
      <c r="H9" s="158">
        <v>5100</v>
      </c>
      <c r="I9" s="158">
        <v>3916800</v>
      </c>
      <c r="J9" s="158">
        <v>3700</v>
      </c>
      <c r="K9" s="158">
        <v>2841600</v>
      </c>
      <c r="L9" s="158">
        <v>1075200</v>
      </c>
      <c r="M9" s="159">
        <v>0.27450980392156898</v>
      </c>
      <c r="N9" s="157" t="s">
        <v>321</v>
      </c>
    </row>
    <row r="10" spans="1:14">
      <c r="A10" s="156">
        <v>9</v>
      </c>
      <c r="B10" s="157" t="s">
        <v>440</v>
      </c>
      <c r="C10" s="156">
        <v>21</v>
      </c>
      <c r="D10" s="157" t="s">
        <v>0</v>
      </c>
      <c r="E10" s="156">
        <v>47</v>
      </c>
      <c r="F10" s="157" t="s">
        <v>4</v>
      </c>
      <c r="G10" s="158">
        <v>460</v>
      </c>
      <c r="H10" s="158">
        <v>12000</v>
      </c>
      <c r="I10" s="158">
        <v>5520000</v>
      </c>
      <c r="J10" s="158">
        <v>11900</v>
      </c>
      <c r="K10" s="158">
        <v>5474000</v>
      </c>
      <c r="L10" s="158">
        <v>46000</v>
      </c>
      <c r="M10" s="159">
        <v>8.3333333333333297E-3</v>
      </c>
      <c r="N10" s="157" t="s">
        <v>321</v>
      </c>
    </row>
    <row r="11" spans="1:14">
      <c r="A11" s="156">
        <v>10</v>
      </c>
      <c r="B11" s="157" t="s">
        <v>440</v>
      </c>
      <c r="C11" s="156">
        <v>21</v>
      </c>
      <c r="D11" s="157" t="s">
        <v>0</v>
      </c>
      <c r="E11" s="156">
        <v>48</v>
      </c>
      <c r="F11" s="157" t="s">
        <v>5</v>
      </c>
      <c r="G11" s="158">
        <v>300</v>
      </c>
      <c r="H11" s="158">
        <v>12000</v>
      </c>
      <c r="I11" s="158">
        <v>3600000</v>
      </c>
      <c r="J11" s="158">
        <v>11900</v>
      </c>
      <c r="K11" s="158">
        <v>3570000</v>
      </c>
      <c r="L11" s="158">
        <v>30000</v>
      </c>
      <c r="M11" s="159">
        <v>8.3333333333333297E-3</v>
      </c>
      <c r="N11" s="157" t="s">
        <v>321</v>
      </c>
    </row>
    <row r="12" spans="1:14">
      <c r="A12" s="156">
        <v>11</v>
      </c>
      <c r="B12" s="157" t="s">
        <v>440</v>
      </c>
      <c r="C12" s="156">
        <v>21</v>
      </c>
      <c r="D12" s="157" t="s">
        <v>0</v>
      </c>
      <c r="E12" s="156">
        <v>123</v>
      </c>
      <c r="F12" s="157" t="s">
        <v>408</v>
      </c>
      <c r="G12" s="158">
        <v>16</v>
      </c>
      <c r="H12" s="158">
        <v>26000</v>
      </c>
      <c r="I12" s="158">
        <v>416000</v>
      </c>
      <c r="J12" s="158">
        <v>18000</v>
      </c>
      <c r="K12" s="158">
        <v>288000</v>
      </c>
      <c r="L12" s="158">
        <v>128000</v>
      </c>
      <c r="M12" s="159">
        <v>0.30769230769230799</v>
      </c>
      <c r="N12" s="157" t="s">
        <v>321</v>
      </c>
    </row>
    <row r="13" spans="1:14">
      <c r="A13" s="156">
        <v>12</v>
      </c>
      <c r="B13" s="157" t="s">
        <v>440</v>
      </c>
      <c r="C13" s="156">
        <v>21</v>
      </c>
      <c r="D13" s="157" t="s">
        <v>0</v>
      </c>
      <c r="E13" s="156">
        <v>24</v>
      </c>
      <c r="F13" s="157" t="s">
        <v>6</v>
      </c>
      <c r="G13" s="158">
        <v>6</v>
      </c>
      <c r="H13" s="158">
        <v>70000</v>
      </c>
      <c r="I13" s="158">
        <v>420000</v>
      </c>
      <c r="J13" s="158">
        <v>55000</v>
      </c>
      <c r="K13" s="158">
        <v>330000</v>
      </c>
      <c r="L13" s="158">
        <v>90000</v>
      </c>
      <c r="M13" s="159">
        <v>0.214285714285714</v>
      </c>
      <c r="N13" s="157" t="s">
        <v>321</v>
      </c>
    </row>
    <row r="14" spans="1:14">
      <c r="A14" s="156">
        <v>13</v>
      </c>
      <c r="B14" s="157" t="s">
        <v>440</v>
      </c>
      <c r="C14" s="156">
        <v>21</v>
      </c>
      <c r="D14" s="157" t="s">
        <v>0</v>
      </c>
      <c r="E14" s="156">
        <v>72</v>
      </c>
      <c r="F14" s="157" t="s">
        <v>357</v>
      </c>
      <c r="G14" s="158">
        <v>270</v>
      </c>
      <c r="H14" s="158">
        <v>11003</v>
      </c>
      <c r="I14" s="158">
        <v>2970736</v>
      </c>
      <c r="J14" s="158">
        <v>8362</v>
      </c>
      <c r="K14" s="158">
        <v>2257740</v>
      </c>
      <c r="L14" s="158">
        <v>712996</v>
      </c>
      <c r="M14" s="159">
        <v>0.24000651690355501</v>
      </c>
      <c r="N14" s="157" t="s">
        <v>321</v>
      </c>
    </row>
    <row r="15" spans="1:14">
      <c r="A15" s="156">
        <v>14</v>
      </c>
      <c r="B15" s="157" t="s">
        <v>440</v>
      </c>
      <c r="C15" s="156">
        <v>21</v>
      </c>
      <c r="D15" s="157" t="s">
        <v>0</v>
      </c>
      <c r="E15" s="156">
        <v>70</v>
      </c>
      <c r="F15" s="157" t="s">
        <v>355</v>
      </c>
      <c r="G15" s="158">
        <v>62</v>
      </c>
      <c r="H15" s="158">
        <v>10919</v>
      </c>
      <c r="I15" s="158">
        <v>676984</v>
      </c>
      <c r="J15" s="158">
        <v>8298</v>
      </c>
      <c r="K15" s="158">
        <v>514476</v>
      </c>
      <c r="L15" s="158">
        <v>162508</v>
      </c>
      <c r="M15" s="159">
        <v>0.24004703213074499</v>
      </c>
      <c r="N15" s="157" t="s">
        <v>321</v>
      </c>
    </row>
    <row r="16" spans="1:14">
      <c r="A16" s="156">
        <v>15</v>
      </c>
      <c r="B16" s="157" t="s">
        <v>441</v>
      </c>
      <c r="C16" s="156">
        <v>21</v>
      </c>
      <c r="D16" s="157" t="s">
        <v>0</v>
      </c>
      <c r="E16" s="156">
        <v>40</v>
      </c>
      <c r="F16" s="157" t="s">
        <v>336</v>
      </c>
      <c r="G16" s="158">
        <v>1</v>
      </c>
      <c r="H16" s="158">
        <v>500000</v>
      </c>
      <c r="I16" s="158">
        <v>500000</v>
      </c>
      <c r="J16" s="158">
        <v>454545</v>
      </c>
      <c r="K16" s="158">
        <v>454545</v>
      </c>
      <c r="L16" s="158">
        <v>45455</v>
      </c>
      <c r="M16" s="159">
        <v>9.0910000000000005E-2</v>
      </c>
      <c r="N16" s="157" t="s">
        <v>321</v>
      </c>
    </row>
    <row r="17" spans="1:14">
      <c r="A17" s="156">
        <v>16</v>
      </c>
      <c r="B17" s="157" t="s">
        <v>441</v>
      </c>
      <c r="C17" s="156">
        <v>21</v>
      </c>
      <c r="D17" s="157" t="s">
        <v>0</v>
      </c>
      <c r="E17" s="156">
        <v>58</v>
      </c>
      <c r="F17" s="157" t="s">
        <v>343</v>
      </c>
      <c r="G17" s="158">
        <v>80</v>
      </c>
      <c r="H17" s="158">
        <v>17711</v>
      </c>
      <c r="I17" s="158">
        <v>1416873</v>
      </c>
      <c r="J17" s="158">
        <v>13637</v>
      </c>
      <c r="K17" s="158">
        <v>1090960</v>
      </c>
      <c r="L17" s="158">
        <v>325913</v>
      </c>
      <c r="M17" s="159">
        <v>0.23002273315957</v>
      </c>
      <c r="N17" s="157" t="s">
        <v>321</v>
      </c>
    </row>
    <row r="18" spans="1:14">
      <c r="A18" s="156">
        <v>17</v>
      </c>
      <c r="B18" s="157" t="s">
        <v>441</v>
      </c>
      <c r="C18" s="156">
        <v>21</v>
      </c>
      <c r="D18" s="157" t="s">
        <v>0</v>
      </c>
      <c r="E18" s="156">
        <v>59</v>
      </c>
      <c r="F18" s="157" t="s">
        <v>344</v>
      </c>
      <c r="G18" s="158">
        <v>40</v>
      </c>
      <c r="H18" s="158">
        <v>20659</v>
      </c>
      <c r="I18" s="158">
        <v>826364</v>
      </c>
      <c r="J18" s="158">
        <v>15907</v>
      </c>
      <c r="K18" s="158">
        <v>636280</v>
      </c>
      <c r="L18" s="158">
        <v>190084</v>
      </c>
      <c r="M18" s="159">
        <v>0.230024541243326</v>
      </c>
      <c r="N18" s="157" t="s">
        <v>321</v>
      </c>
    </row>
    <row r="19" spans="1:14">
      <c r="A19" s="156">
        <v>18</v>
      </c>
      <c r="B19" s="157" t="s">
        <v>441</v>
      </c>
      <c r="C19" s="156">
        <v>21</v>
      </c>
      <c r="D19" s="157" t="s">
        <v>0</v>
      </c>
      <c r="E19" s="156">
        <v>60</v>
      </c>
      <c r="F19" s="157" t="s">
        <v>345</v>
      </c>
      <c r="G19" s="158">
        <v>35</v>
      </c>
      <c r="H19" s="158">
        <v>25740</v>
      </c>
      <c r="I19" s="158">
        <v>900900</v>
      </c>
      <c r="J19" s="158">
        <v>19820</v>
      </c>
      <c r="K19" s="158">
        <v>693700</v>
      </c>
      <c r="L19" s="158">
        <v>207200</v>
      </c>
      <c r="M19" s="159">
        <v>0.22999222999223001</v>
      </c>
      <c r="N19" s="157" t="s">
        <v>321</v>
      </c>
    </row>
    <row r="20" spans="1:14">
      <c r="A20" s="156">
        <v>19</v>
      </c>
      <c r="B20" s="157" t="s">
        <v>441</v>
      </c>
      <c r="C20" s="156">
        <v>21</v>
      </c>
      <c r="D20" s="157" t="s">
        <v>0</v>
      </c>
      <c r="E20" s="156">
        <v>55</v>
      </c>
      <c r="F20" s="157" t="s">
        <v>340</v>
      </c>
      <c r="G20" s="158">
        <v>20</v>
      </c>
      <c r="H20" s="158">
        <v>38846</v>
      </c>
      <c r="I20" s="158">
        <v>776927</v>
      </c>
      <c r="J20" s="158">
        <v>29911</v>
      </c>
      <c r="K20" s="158">
        <v>598220</v>
      </c>
      <c r="L20" s="158">
        <v>178707</v>
      </c>
      <c r="M20" s="159">
        <v>0.23001774941532499</v>
      </c>
      <c r="N20" s="157" t="s">
        <v>321</v>
      </c>
    </row>
    <row r="21" spans="1:14">
      <c r="A21" s="156">
        <v>20</v>
      </c>
      <c r="B21" s="157" t="s">
        <v>441</v>
      </c>
      <c r="C21" s="156">
        <v>21</v>
      </c>
      <c r="D21" s="157" t="s">
        <v>0</v>
      </c>
      <c r="E21" s="156">
        <v>42</v>
      </c>
      <c r="F21" s="157" t="s">
        <v>1</v>
      </c>
      <c r="G21" s="158">
        <v>660</v>
      </c>
      <c r="H21" s="158">
        <v>4964</v>
      </c>
      <c r="I21" s="158">
        <v>3276000</v>
      </c>
      <c r="J21" s="158">
        <v>3600</v>
      </c>
      <c r="K21" s="158">
        <v>2376000</v>
      </c>
      <c r="L21" s="158">
        <v>900000</v>
      </c>
      <c r="M21" s="159">
        <v>0.27472527472527503</v>
      </c>
      <c r="N21" s="157" t="s">
        <v>321</v>
      </c>
    </row>
    <row r="22" spans="1:14">
      <c r="A22" s="156">
        <v>21</v>
      </c>
      <c r="B22" s="157" t="s">
        <v>441</v>
      </c>
      <c r="C22" s="156">
        <v>21</v>
      </c>
      <c r="D22" s="157" t="s">
        <v>0</v>
      </c>
      <c r="E22" s="156">
        <v>20</v>
      </c>
      <c r="F22" s="157" t="s">
        <v>2</v>
      </c>
      <c r="G22" s="158">
        <v>80</v>
      </c>
      <c r="H22" s="158">
        <v>11500</v>
      </c>
      <c r="I22" s="158">
        <v>920000</v>
      </c>
      <c r="J22" s="158">
        <v>11300</v>
      </c>
      <c r="K22" s="158">
        <v>904000</v>
      </c>
      <c r="L22" s="158">
        <v>16000</v>
      </c>
      <c r="M22" s="159">
        <v>1.7391304347826101E-2</v>
      </c>
      <c r="N22" s="157" t="s">
        <v>321</v>
      </c>
    </row>
    <row r="23" spans="1:14">
      <c r="A23" s="156">
        <v>22</v>
      </c>
      <c r="B23" s="157" t="s">
        <v>441</v>
      </c>
      <c r="C23" s="156">
        <v>21</v>
      </c>
      <c r="D23" s="157" t="s">
        <v>0</v>
      </c>
      <c r="E23" s="156">
        <v>13</v>
      </c>
      <c r="F23" s="157" t="s">
        <v>3</v>
      </c>
      <c r="G23" s="158">
        <v>624</v>
      </c>
      <c r="H23" s="158">
        <v>5100</v>
      </c>
      <c r="I23" s="158">
        <v>3182400</v>
      </c>
      <c r="J23" s="158">
        <v>3700</v>
      </c>
      <c r="K23" s="158">
        <v>2308800</v>
      </c>
      <c r="L23" s="158">
        <v>873600</v>
      </c>
      <c r="M23" s="159">
        <v>0.27450980392156898</v>
      </c>
      <c r="N23" s="157" t="s">
        <v>321</v>
      </c>
    </row>
    <row r="24" spans="1:14">
      <c r="A24" s="156">
        <v>23</v>
      </c>
      <c r="B24" s="157" t="s">
        <v>441</v>
      </c>
      <c r="C24" s="156">
        <v>21</v>
      </c>
      <c r="D24" s="157" t="s">
        <v>0</v>
      </c>
      <c r="E24" s="156">
        <v>47</v>
      </c>
      <c r="F24" s="157" t="s">
        <v>4</v>
      </c>
      <c r="G24" s="158">
        <v>360</v>
      </c>
      <c r="H24" s="158">
        <v>12000</v>
      </c>
      <c r="I24" s="158">
        <v>4320000</v>
      </c>
      <c r="J24" s="158">
        <v>11900</v>
      </c>
      <c r="K24" s="158">
        <v>4284000</v>
      </c>
      <c r="L24" s="158">
        <v>36000</v>
      </c>
      <c r="M24" s="159">
        <v>8.3333333333333297E-3</v>
      </c>
      <c r="N24" s="157" t="s">
        <v>321</v>
      </c>
    </row>
    <row r="25" spans="1:14">
      <c r="A25" s="156">
        <v>24</v>
      </c>
      <c r="B25" s="157" t="s">
        <v>441</v>
      </c>
      <c r="C25" s="156">
        <v>21</v>
      </c>
      <c r="D25" s="157" t="s">
        <v>0</v>
      </c>
      <c r="E25" s="156">
        <v>48</v>
      </c>
      <c r="F25" s="157" t="s">
        <v>5</v>
      </c>
      <c r="G25" s="158">
        <v>240</v>
      </c>
      <c r="H25" s="158">
        <v>12000</v>
      </c>
      <c r="I25" s="158">
        <v>2880000</v>
      </c>
      <c r="J25" s="158">
        <v>11900</v>
      </c>
      <c r="K25" s="158">
        <v>2856000</v>
      </c>
      <c r="L25" s="158">
        <v>24000</v>
      </c>
      <c r="M25" s="159">
        <v>8.3333333333333297E-3</v>
      </c>
      <c r="N25" s="157" t="s">
        <v>321</v>
      </c>
    </row>
    <row r="26" spans="1:14">
      <c r="A26" s="156">
        <v>25</v>
      </c>
      <c r="B26" s="157" t="s">
        <v>441</v>
      </c>
      <c r="C26" s="156">
        <v>21</v>
      </c>
      <c r="D26" s="157" t="s">
        <v>0</v>
      </c>
      <c r="E26" s="156">
        <v>123</v>
      </c>
      <c r="F26" s="157" t="s">
        <v>408</v>
      </c>
      <c r="G26" s="158">
        <v>12</v>
      </c>
      <c r="H26" s="158">
        <v>26000</v>
      </c>
      <c r="I26" s="158">
        <v>312000</v>
      </c>
      <c r="J26" s="158">
        <v>18000</v>
      </c>
      <c r="K26" s="158">
        <v>216000</v>
      </c>
      <c r="L26" s="158">
        <v>96000</v>
      </c>
      <c r="M26" s="159">
        <v>0.30769230769230799</v>
      </c>
      <c r="N26" s="157" t="s">
        <v>321</v>
      </c>
    </row>
    <row r="27" spans="1:14">
      <c r="A27" s="156">
        <v>26</v>
      </c>
      <c r="B27" s="157" t="s">
        <v>441</v>
      </c>
      <c r="C27" s="156">
        <v>21</v>
      </c>
      <c r="D27" s="157" t="s">
        <v>0</v>
      </c>
      <c r="E27" s="156">
        <v>24</v>
      </c>
      <c r="F27" s="157" t="s">
        <v>6</v>
      </c>
      <c r="G27" s="158">
        <v>6</v>
      </c>
      <c r="H27" s="158">
        <v>70000</v>
      </c>
      <c r="I27" s="158">
        <v>420000</v>
      </c>
      <c r="J27" s="158">
        <v>55000</v>
      </c>
      <c r="K27" s="158">
        <v>330000</v>
      </c>
      <c r="L27" s="158">
        <v>90000</v>
      </c>
      <c r="M27" s="159">
        <v>0.214285714285714</v>
      </c>
      <c r="N27" s="157" t="s">
        <v>321</v>
      </c>
    </row>
    <row r="28" spans="1:14">
      <c r="A28" s="156">
        <v>27</v>
      </c>
      <c r="B28" s="157" t="s">
        <v>441</v>
      </c>
      <c r="C28" s="156">
        <v>21</v>
      </c>
      <c r="D28" s="157" t="s">
        <v>0</v>
      </c>
      <c r="E28" s="156">
        <v>72</v>
      </c>
      <c r="F28" s="157" t="s">
        <v>357</v>
      </c>
      <c r="G28" s="158">
        <v>215</v>
      </c>
      <c r="H28" s="158">
        <v>11003</v>
      </c>
      <c r="I28" s="158">
        <v>2365586</v>
      </c>
      <c r="J28" s="158">
        <v>8362</v>
      </c>
      <c r="K28" s="158">
        <v>1797830</v>
      </c>
      <c r="L28" s="158">
        <v>567756</v>
      </c>
      <c r="M28" s="159">
        <v>0.240006493105725</v>
      </c>
      <c r="N28" s="157" t="s">
        <v>321</v>
      </c>
    </row>
    <row r="29" spans="1:14">
      <c r="A29" s="156">
        <v>28</v>
      </c>
      <c r="B29" s="157" t="s">
        <v>441</v>
      </c>
      <c r="C29" s="156">
        <v>21</v>
      </c>
      <c r="D29" s="157" t="s">
        <v>0</v>
      </c>
      <c r="E29" s="156">
        <v>70</v>
      </c>
      <c r="F29" s="157" t="s">
        <v>355</v>
      </c>
      <c r="G29" s="158">
        <v>40</v>
      </c>
      <c r="H29" s="158">
        <v>10919</v>
      </c>
      <c r="I29" s="158">
        <v>436764</v>
      </c>
      <c r="J29" s="158">
        <v>8298</v>
      </c>
      <c r="K29" s="158">
        <v>331920</v>
      </c>
      <c r="L29" s="158">
        <v>104844</v>
      </c>
      <c r="M29" s="159">
        <v>0.240047256642031</v>
      </c>
      <c r="N29" s="157" t="s">
        <v>321</v>
      </c>
    </row>
    <row r="30" spans="1:14">
      <c r="A30" s="156">
        <v>29</v>
      </c>
      <c r="B30" s="157" t="s">
        <v>441</v>
      </c>
      <c r="C30" s="156">
        <v>21</v>
      </c>
      <c r="D30" s="157" t="s">
        <v>0</v>
      </c>
      <c r="E30" s="156">
        <v>6</v>
      </c>
      <c r="F30" s="157" t="s">
        <v>7</v>
      </c>
      <c r="G30" s="158">
        <v>5</v>
      </c>
      <c r="H30" s="158">
        <v>22727</v>
      </c>
      <c r="I30" s="158">
        <v>113636</v>
      </c>
      <c r="J30" s="158">
        <v>50000</v>
      </c>
      <c r="K30" s="158">
        <v>250000</v>
      </c>
      <c r="L30" s="158">
        <v>-136364</v>
      </c>
      <c r="M30" s="159">
        <v>-1.20000704002253</v>
      </c>
      <c r="N30" s="157" t="s">
        <v>321</v>
      </c>
    </row>
    <row r="31" spans="1:14">
      <c r="A31" s="156">
        <v>30</v>
      </c>
      <c r="B31" s="157" t="s">
        <v>441</v>
      </c>
      <c r="C31" s="156">
        <v>21</v>
      </c>
      <c r="D31" s="157" t="s">
        <v>0</v>
      </c>
      <c r="E31" s="156">
        <v>93</v>
      </c>
      <c r="F31" s="157" t="s">
        <v>378</v>
      </c>
      <c r="G31" s="158">
        <v>3</v>
      </c>
      <c r="H31" s="158">
        <v>103527</v>
      </c>
      <c r="I31" s="158">
        <v>310582</v>
      </c>
      <c r="J31" s="158">
        <v>51764</v>
      </c>
      <c r="K31" s="158">
        <v>155292</v>
      </c>
      <c r="L31" s="158">
        <v>155290</v>
      </c>
      <c r="M31" s="159">
        <v>0.499996780238391</v>
      </c>
      <c r="N31" s="157" t="s">
        <v>321</v>
      </c>
    </row>
    <row r="32" spans="1:14">
      <c r="A32" s="156">
        <v>31</v>
      </c>
      <c r="B32" s="157" t="s">
        <v>441</v>
      </c>
      <c r="C32" s="156">
        <v>21</v>
      </c>
      <c r="D32" s="157" t="s">
        <v>0</v>
      </c>
      <c r="E32" s="156">
        <v>95</v>
      </c>
      <c r="F32" s="157" t="s">
        <v>380</v>
      </c>
      <c r="G32" s="158">
        <v>5</v>
      </c>
      <c r="H32" s="158">
        <v>76647</v>
      </c>
      <c r="I32" s="158">
        <v>383236</v>
      </c>
      <c r="J32" s="158">
        <v>38324</v>
      </c>
      <c r="K32" s="158">
        <v>191620</v>
      </c>
      <c r="L32" s="158">
        <v>191616</v>
      </c>
      <c r="M32" s="159">
        <v>0.49999478128359498</v>
      </c>
      <c r="N32" s="157" t="s">
        <v>321</v>
      </c>
    </row>
    <row r="33" spans="1:14">
      <c r="A33" s="156">
        <v>32</v>
      </c>
      <c r="B33" s="157" t="s">
        <v>441</v>
      </c>
      <c r="C33" s="156">
        <v>21</v>
      </c>
      <c r="D33" s="157" t="s">
        <v>0</v>
      </c>
      <c r="E33" s="156">
        <v>94</v>
      </c>
      <c r="F33" s="157" t="s">
        <v>379</v>
      </c>
      <c r="G33" s="158">
        <v>1</v>
      </c>
      <c r="H33" s="158">
        <v>54333</v>
      </c>
      <c r="I33" s="158">
        <v>54333</v>
      </c>
      <c r="J33" s="158">
        <v>27166</v>
      </c>
      <c r="K33" s="158">
        <v>27166</v>
      </c>
      <c r="L33" s="158">
        <v>27167</v>
      </c>
      <c r="M33" s="159">
        <v>0.50000920251044501</v>
      </c>
      <c r="N33" s="157" t="s">
        <v>321</v>
      </c>
    </row>
    <row r="34" spans="1:14">
      <c r="A34" s="156">
        <v>33</v>
      </c>
      <c r="B34" s="157" t="s">
        <v>440</v>
      </c>
      <c r="C34" s="156">
        <v>36</v>
      </c>
      <c r="D34" s="157" t="s">
        <v>21</v>
      </c>
      <c r="E34" s="156">
        <v>20</v>
      </c>
      <c r="F34" s="157" t="s">
        <v>2</v>
      </c>
      <c r="G34" s="158">
        <v>120</v>
      </c>
      <c r="H34" s="158">
        <v>16635</v>
      </c>
      <c r="I34" s="158">
        <v>1996145</v>
      </c>
      <c r="J34" s="158">
        <v>15000</v>
      </c>
      <c r="K34" s="158">
        <v>1800000</v>
      </c>
      <c r="L34" s="158">
        <v>196145</v>
      </c>
      <c r="M34" s="159">
        <v>9.8261899811887404E-2</v>
      </c>
      <c r="N34" s="157" t="s">
        <v>321</v>
      </c>
    </row>
    <row r="35" spans="1:14">
      <c r="A35" s="156">
        <v>34</v>
      </c>
      <c r="B35" s="157" t="s">
        <v>440</v>
      </c>
      <c r="C35" s="156">
        <v>36</v>
      </c>
      <c r="D35" s="157" t="s">
        <v>21</v>
      </c>
      <c r="E35" s="156">
        <v>22</v>
      </c>
      <c r="F35" s="157" t="s">
        <v>10</v>
      </c>
      <c r="G35" s="158">
        <v>140</v>
      </c>
      <c r="H35" s="158">
        <v>17489</v>
      </c>
      <c r="I35" s="158">
        <v>2448473</v>
      </c>
      <c r="J35" s="158">
        <v>15000</v>
      </c>
      <c r="K35" s="158">
        <v>2100000</v>
      </c>
      <c r="L35" s="158">
        <v>348473</v>
      </c>
      <c r="M35" s="159">
        <v>0.14232258227883299</v>
      </c>
      <c r="N35" s="157" t="s">
        <v>321</v>
      </c>
    </row>
    <row r="36" spans="1:14">
      <c r="A36" s="156">
        <v>35</v>
      </c>
      <c r="B36" s="157" t="s">
        <v>440</v>
      </c>
      <c r="C36" s="156">
        <v>36</v>
      </c>
      <c r="D36" s="157" t="s">
        <v>21</v>
      </c>
      <c r="E36" s="156">
        <v>9</v>
      </c>
      <c r="F36" s="157" t="s">
        <v>11</v>
      </c>
      <c r="G36" s="158">
        <v>600</v>
      </c>
      <c r="H36" s="158">
        <v>523</v>
      </c>
      <c r="I36" s="158">
        <v>313636</v>
      </c>
      <c r="J36" s="158">
        <v>435</v>
      </c>
      <c r="K36" s="158">
        <v>261000</v>
      </c>
      <c r="L36" s="158">
        <v>52636</v>
      </c>
      <c r="M36" s="159">
        <v>0.167825122116084</v>
      </c>
      <c r="N36" s="157" t="s">
        <v>321</v>
      </c>
    </row>
    <row r="37" spans="1:14">
      <c r="A37" s="156">
        <v>36</v>
      </c>
      <c r="B37" s="157" t="s">
        <v>440</v>
      </c>
      <c r="C37" s="156">
        <v>36</v>
      </c>
      <c r="D37" s="157" t="s">
        <v>21</v>
      </c>
      <c r="E37" s="156">
        <v>11</v>
      </c>
      <c r="F37" s="157" t="s">
        <v>12</v>
      </c>
      <c r="G37" s="158">
        <v>1200</v>
      </c>
      <c r="H37" s="158">
        <v>523</v>
      </c>
      <c r="I37" s="158">
        <v>627273</v>
      </c>
      <c r="J37" s="158">
        <v>435</v>
      </c>
      <c r="K37" s="158">
        <v>522000</v>
      </c>
      <c r="L37" s="158">
        <v>105273</v>
      </c>
      <c r="M37" s="159">
        <v>0.167826448771109</v>
      </c>
      <c r="N37" s="157" t="s">
        <v>321</v>
      </c>
    </row>
    <row r="38" spans="1:14">
      <c r="A38" s="156">
        <v>37</v>
      </c>
      <c r="B38" s="157" t="s">
        <v>440</v>
      </c>
      <c r="C38" s="156">
        <v>36</v>
      </c>
      <c r="D38" s="157" t="s">
        <v>21</v>
      </c>
      <c r="E38" s="156">
        <v>49</v>
      </c>
      <c r="F38" s="157" t="s">
        <v>13</v>
      </c>
      <c r="G38" s="158">
        <v>60</v>
      </c>
      <c r="H38" s="158">
        <v>19564</v>
      </c>
      <c r="I38" s="158">
        <v>1173818</v>
      </c>
      <c r="J38" s="158">
        <v>16000</v>
      </c>
      <c r="K38" s="158">
        <v>960000</v>
      </c>
      <c r="L38" s="158">
        <v>213818</v>
      </c>
      <c r="M38" s="159">
        <v>0.18215600714932001</v>
      </c>
      <c r="N38" s="157" t="s">
        <v>321</v>
      </c>
    </row>
    <row r="39" spans="1:14">
      <c r="A39" s="156">
        <v>38</v>
      </c>
      <c r="B39" s="157" t="s">
        <v>440</v>
      </c>
      <c r="C39" s="156">
        <v>36</v>
      </c>
      <c r="D39" s="157" t="s">
        <v>21</v>
      </c>
      <c r="E39" s="156">
        <v>33</v>
      </c>
      <c r="F39" s="157" t="s">
        <v>14</v>
      </c>
      <c r="G39" s="158">
        <v>60</v>
      </c>
      <c r="H39" s="158">
        <v>15170</v>
      </c>
      <c r="I39" s="158">
        <v>910200</v>
      </c>
      <c r="J39" s="158">
        <v>11000</v>
      </c>
      <c r="K39" s="158">
        <v>660000</v>
      </c>
      <c r="L39" s="158">
        <v>250200</v>
      </c>
      <c r="M39" s="159">
        <v>0.27488464073829899</v>
      </c>
      <c r="N39" s="157" t="s">
        <v>321</v>
      </c>
    </row>
    <row r="40" spans="1:14">
      <c r="A40" s="156">
        <v>39</v>
      </c>
      <c r="B40" s="157" t="s">
        <v>440</v>
      </c>
      <c r="C40" s="156">
        <v>36</v>
      </c>
      <c r="D40" s="157" t="s">
        <v>21</v>
      </c>
      <c r="E40" s="156">
        <v>46</v>
      </c>
      <c r="F40" s="157" t="s">
        <v>15</v>
      </c>
      <c r="G40" s="158">
        <v>320</v>
      </c>
      <c r="H40" s="158">
        <v>6277</v>
      </c>
      <c r="I40" s="158">
        <v>2008727</v>
      </c>
      <c r="J40" s="158">
        <v>5000</v>
      </c>
      <c r="K40" s="158">
        <v>1600000</v>
      </c>
      <c r="L40" s="158">
        <v>408727</v>
      </c>
      <c r="M40" s="159">
        <v>0.20347563407073199</v>
      </c>
      <c r="N40" s="157" t="s">
        <v>321</v>
      </c>
    </row>
    <row r="41" spans="1:14">
      <c r="A41" s="156">
        <v>40</v>
      </c>
      <c r="B41" s="157" t="s">
        <v>440</v>
      </c>
      <c r="C41" s="156">
        <v>36</v>
      </c>
      <c r="D41" s="157" t="s">
        <v>21</v>
      </c>
      <c r="E41" s="156">
        <v>24</v>
      </c>
      <c r="F41" s="157" t="s">
        <v>6</v>
      </c>
      <c r="G41" s="158">
        <v>6</v>
      </c>
      <c r="H41" s="158">
        <v>80559</v>
      </c>
      <c r="I41" s="158">
        <v>483355</v>
      </c>
      <c r="J41" s="158">
        <v>55000</v>
      </c>
      <c r="K41" s="158">
        <v>330000</v>
      </c>
      <c r="L41" s="158">
        <v>153355</v>
      </c>
      <c r="M41" s="159">
        <v>0.31727198435932202</v>
      </c>
      <c r="N41" s="157" t="s">
        <v>321</v>
      </c>
    </row>
    <row r="42" spans="1:14">
      <c r="A42" s="156">
        <v>41</v>
      </c>
      <c r="B42" s="157" t="s">
        <v>440</v>
      </c>
      <c r="C42" s="156">
        <v>36</v>
      </c>
      <c r="D42" s="157" t="s">
        <v>21</v>
      </c>
      <c r="E42" s="156">
        <v>123</v>
      </c>
      <c r="F42" s="157" t="s">
        <v>408</v>
      </c>
      <c r="G42" s="158">
        <v>12</v>
      </c>
      <c r="H42" s="158">
        <v>31386</v>
      </c>
      <c r="I42" s="158">
        <v>376636</v>
      </c>
      <c r="J42" s="158">
        <v>18000</v>
      </c>
      <c r="K42" s="158">
        <v>216000</v>
      </c>
      <c r="L42" s="158">
        <v>160636</v>
      </c>
      <c r="M42" s="159">
        <v>0.426501980692233</v>
      </c>
      <c r="N42" s="157" t="s">
        <v>321</v>
      </c>
    </row>
    <row r="43" spans="1:14">
      <c r="A43" s="156">
        <v>42</v>
      </c>
      <c r="B43" s="157" t="s">
        <v>441</v>
      </c>
      <c r="C43" s="156">
        <v>36</v>
      </c>
      <c r="D43" s="157" t="s">
        <v>21</v>
      </c>
      <c r="E43" s="156">
        <v>20</v>
      </c>
      <c r="F43" s="157" t="s">
        <v>2</v>
      </c>
      <c r="G43" s="158">
        <v>160</v>
      </c>
      <c r="H43" s="158">
        <v>16635</v>
      </c>
      <c r="I43" s="158">
        <v>2661527</v>
      </c>
      <c r="J43" s="158">
        <v>15000</v>
      </c>
      <c r="K43" s="158">
        <v>2400000</v>
      </c>
      <c r="L43" s="158">
        <v>261527</v>
      </c>
      <c r="M43" s="159">
        <v>9.8262012746817895E-2</v>
      </c>
      <c r="N43" s="157" t="s">
        <v>321</v>
      </c>
    </row>
    <row r="44" spans="1:14">
      <c r="A44" s="156">
        <v>43</v>
      </c>
      <c r="B44" s="157" t="s">
        <v>441</v>
      </c>
      <c r="C44" s="156">
        <v>36</v>
      </c>
      <c r="D44" s="157" t="s">
        <v>21</v>
      </c>
      <c r="E44" s="156">
        <v>22</v>
      </c>
      <c r="F44" s="157" t="s">
        <v>10</v>
      </c>
      <c r="G44" s="158">
        <v>160</v>
      </c>
      <c r="H44" s="158">
        <v>17489</v>
      </c>
      <c r="I44" s="158">
        <v>2798255</v>
      </c>
      <c r="J44" s="158">
        <v>15000</v>
      </c>
      <c r="K44" s="158">
        <v>2400000</v>
      </c>
      <c r="L44" s="158">
        <v>398255</v>
      </c>
      <c r="M44" s="159">
        <v>0.14232262606517301</v>
      </c>
      <c r="N44" s="157" t="s">
        <v>321</v>
      </c>
    </row>
    <row r="45" spans="1:14">
      <c r="A45" s="156">
        <v>44</v>
      </c>
      <c r="B45" s="157" t="s">
        <v>441</v>
      </c>
      <c r="C45" s="156">
        <v>36</v>
      </c>
      <c r="D45" s="157" t="s">
        <v>21</v>
      </c>
      <c r="E45" s="156">
        <v>9</v>
      </c>
      <c r="F45" s="157" t="s">
        <v>11</v>
      </c>
      <c r="G45" s="158">
        <v>900</v>
      </c>
      <c r="H45" s="158">
        <v>523</v>
      </c>
      <c r="I45" s="158">
        <v>470455</v>
      </c>
      <c r="J45" s="158">
        <v>435</v>
      </c>
      <c r="K45" s="158">
        <v>391500</v>
      </c>
      <c r="L45" s="158">
        <v>78955</v>
      </c>
      <c r="M45" s="159">
        <v>0.167826890988511</v>
      </c>
      <c r="N45" s="157" t="s">
        <v>321</v>
      </c>
    </row>
    <row r="46" spans="1:14">
      <c r="A46" s="156">
        <v>45</v>
      </c>
      <c r="B46" s="157" t="s">
        <v>441</v>
      </c>
      <c r="C46" s="156">
        <v>36</v>
      </c>
      <c r="D46" s="157" t="s">
        <v>21</v>
      </c>
      <c r="E46" s="156">
        <v>11</v>
      </c>
      <c r="F46" s="157" t="s">
        <v>12</v>
      </c>
      <c r="G46" s="158">
        <v>1350</v>
      </c>
      <c r="H46" s="158">
        <v>523</v>
      </c>
      <c r="I46" s="158">
        <v>705682</v>
      </c>
      <c r="J46" s="158">
        <v>435</v>
      </c>
      <c r="K46" s="158">
        <v>587250</v>
      </c>
      <c r="L46" s="158">
        <v>118432</v>
      </c>
      <c r="M46" s="159">
        <v>0.16782630136520399</v>
      </c>
      <c r="N46" s="157" t="s">
        <v>321</v>
      </c>
    </row>
    <row r="47" spans="1:14">
      <c r="A47" s="156">
        <v>46</v>
      </c>
      <c r="B47" s="157" t="s">
        <v>441</v>
      </c>
      <c r="C47" s="156">
        <v>36</v>
      </c>
      <c r="D47" s="157" t="s">
        <v>21</v>
      </c>
      <c r="E47" s="156">
        <v>49</v>
      </c>
      <c r="F47" s="157" t="s">
        <v>13</v>
      </c>
      <c r="G47" s="158">
        <v>100</v>
      </c>
      <c r="H47" s="158">
        <v>19564</v>
      </c>
      <c r="I47" s="158">
        <v>1956364</v>
      </c>
      <c r="J47" s="158">
        <v>16000</v>
      </c>
      <c r="K47" s="158">
        <v>1600000</v>
      </c>
      <c r="L47" s="158">
        <v>356364</v>
      </c>
      <c r="M47" s="159">
        <v>0.18215628584455701</v>
      </c>
      <c r="N47" s="157" t="s">
        <v>321</v>
      </c>
    </row>
    <row r="48" spans="1:14">
      <c r="A48" s="156">
        <v>47</v>
      </c>
      <c r="B48" s="157" t="s">
        <v>441</v>
      </c>
      <c r="C48" s="156">
        <v>36</v>
      </c>
      <c r="D48" s="157" t="s">
        <v>21</v>
      </c>
      <c r="E48" s="156">
        <v>33</v>
      </c>
      <c r="F48" s="157" t="s">
        <v>14</v>
      </c>
      <c r="G48" s="158">
        <v>144</v>
      </c>
      <c r="H48" s="158">
        <v>15170</v>
      </c>
      <c r="I48" s="158">
        <v>2184480</v>
      </c>
      <c r="J48" s="158">
        <v>11000</v>
      </c>
      <c r="K48" s="158">
        <v>1584000</v>
      </c>
      <c r="L48" s="158">
        <v>600480</v>
      </c>
      <c r="M48" s="159">
        <v>0.27488464073829899</v>
      </c>
      <c r="N48" s="157" t="s">
        <v>321</v>
      </c>
    </row>
    <row r="49" spans="1:14">
      <c r="A49" s="156">
        <v>48</v>
      </c>
      <c r="B49" s="157" t="s">
        <v>441</v>
      </c>
      <c r="C49" s="156">
        <v>36</v>
      </c>
      <c r="D49" s="157" t="s">
        <v>21</v>
      </c>
      <c r="E49" s="156">
        <v>46</v>
      </c>
      <c r="F49" s="157" t="s">
        <v>15</v>
      </c>
      <c r="G49" s="158">
        <v>380</v>
      </c>
      <c r="H49" s="158">
        <v>6277</v>
      </c>
      <c r="I49" s="158">
        <v>2385364</v>
      </c>
      <c r="J49" s="158">
        <v>5000</v>
      </c>
      <c r="K49" s="158">
        <v>1900000</v>
      </c>
      <c r="L49" s="158">
        <v>485364</v>
      </c>
      <c r="M49" s="159">
        <v>0.203475863641775</v>
      </c>
      <c r="N49" s="157" t="s">
        <v>321</v>
      </c>
    </row>
    <row r="50" spans="1:14">
      <c r="A50" s="156">
        <v>49</v>
      </c>
      <c r="B50" s="157" t="s">
        <v>441</v>
      </c>
      <c r="C50" s="156">
        <v>36</v>
      </c>
      <c r="D50" s="157" t="s">
        <v>21</v>
      </c>
      <c r="E50" s="156">
        <v>123</v>
      </c>
      <c r="F50" s="157" t="s">
        <v>408</v>
      </c>
      <c r="G50" s="158">
        <v>8</v>
      </c>
      <c r="H50" s="158">
        <v>31386</v>
      </c>
      <c r="I50" s="158">
        <v>251091</v>
      </c>
      <c r="J50" s="158">
        <v>18000</v>
      </c>
      <c r="K50" s="158">
        <v>144000</v>
      </c>
      <c r="L50" s="158">
        <v>107091</v>
      </c>
      <c r="M50" s="159">
        <v>0.42650274203376498</v>
      </c>
      <c r="N50" s="157" t="s">
        <v>321</v>
      </c>
    </row>
    <row r="51" spans="1:14">
      <c r="A51" s="156">
        <v>50</v>
      </c>
      <c r="B51" s="157" t="s">
        <v>441</v>
      </c>
      <c r="C51" s="156">
        <v>36</v>
      </c>
      <c r="D51" s="157" t="s">
        <v>21</v>
      </c>
      <c r="E51" s="156">
        <v>7</v>
      </c>
      <c r="F51" s="157" t="s">
        <v>16</v>
      </c>
      <c r="G51" s="158">
        <v>520</v>
      </c>
      <c r="H51" s="158">
        <v>7324</v>
      </c>
      <c r="I51" s="158">
        <v>3808291</v>
      </c>
      <c r="J51" s="158">
        <v>7000</v>
      </c>
      <c r="K51" s="158">
        <v>3640000</v>
      </c>
      <c r="L51" s="158">
        <v>168291</v>
      </c>
      <c r="M51" s="159">
        <v>4.41906881590719E-2</v>
      </c>
      <c r="N51" s="157" t="s">
        <v>321</v>
      </c>
    </row>
    <row r="52" spans="1:14">
      <c r="A52" s="156">
        <v>51</v>
      </c>
      <c r="B52" s="157" t="s">
        <v>441</v>
      </c>
      <c r="C52" s="156">
        <v>36</v>
      </c>
      <c r="D52" s="157" t="s">
        <v>21</v>
      </c>
      <c r="E52" s="156">
        <v>38</v>
      </c>
      <c r="F52" s="157" t="s">
        <v>17</v>
      </c>
      <c r="G52" s="158">
        <v>144</v>
      </c>
      <c r="H52" s="158">
        <v>16740</v>
      </c>
      <c r="I52" s="158">
        <v>2410560</v>
      </c>
      <c r="J52" s="158">
        <v>16000</v>
      </c>
      <c r="K52" s="158">
        <v>2304000</v>
      </c>
      <c r="L52" s="158">
        <v>106560</v>
      </c>
      <c r="M52" s="159">
        <v>4.4205495818398999E-2</v>
      </c>
      <c r="N52" s="157" t="s">
        <v>321</v>
      </c>
    </row>
    <row r="53" spans="1:14">
      <c r="A53" s="156">
        <v>52</v>
      </c>
      <c r="B53" s="157" t="s">
        <v>441</v>
      </c>
      <c r="C53" s="156">
        <v>36</v>
      </c>
      <c r="D53" s="157" t="s">
        <v>21</v>
      </c>
      <c r="E53" s="156">
        <v>39</v>
      </c>
      <c r="F53" s="157" t="s">
        <v>18</v>
      </c>
      <c r="G53" s="158">
        <v>264</v>
      </c>
      <c r="H53" s="158">
        <v>16740</v>
      </c>
      <c r="I53" s="158">
        <v>4419360</v>
      </c>
      <c r="J53" s="158">
        <v>16000</v>
      </c>
      <c r="K53" s="158">
        <v>4224000</v>
      </c>
      <c r="L53" s="158">
        <v>195360</v>
      </c>
      <c r="M53" s="159">
        <v>4.4205495818398999E-2</v>
      </c>
      <c r="N53" s="157" t="s">
        <v>321</v>
      </c>
    </row>
    <row r="54" spans="1:14">
      <c r="A54" s="156">
        <v>53</v>
      </c>
      <c r="B54" s="157" t="s">
        <v>441</v>
      </c>
      <c r="C54" s="156">
        <v>36</v>
      </c>
      <c r="D54" s="157" t="s">
        <v>21</v>
      </c>
      <c r="E54" s="156">
        <v>44</v>
      </c>
      <c r="F54" s="157" t="s">
        <v>19</v>
      </c>
      <c r="G54" s="158">
        <v>16</v>
      </c>
      <c r="H54" s="158">
        <v>83697</v>
      </c>
      <c r="I54" s="158">
        <v>1339156</v>
      </c>
      <c r="J54" s="158">
        <v>80000</v>
      </c>
      <c r="K54" s="158">
        <v>1280000</v>
      </c>
      <c r="L54" s="158">
        <v>59156</v>
      </c>
      <c r="M54" s="159">
        <v>4.4174091741365502E-2</v>
      </c>
      <c r="N54" s="157" t="s">
        <v>321</v>
      </c>
    </row>
    <row r="55" spans="1:14">
      <c r="A55" s="156">
        <v>54</v>
      </c>
      <c r="B55" s="157" t="s">
        <v>441</v>
      </c>
      <c r="C55" s="156">
        <v>36</v>
      </c>
      <c r="D55" s="157" t="s">
        <v>21</v>
      </c>
      <c r="E55" s="156">
        <v>43</v>
      </c>
      <c r="F55" s="157" t="s">
        <v>20</v>
      </c>
      <c r="G55" s="158">
        <v>96</v>
      </c>
      <c r="H55" s="158">
        <v>18832</v>
      </c>
      <c r="I55" s="158">
        <v>1807855</v>
      </c>
      <c r="J55" s="158">
        <v>18000</v>
      </c>
      <c r="K55" s="158">
        <v>1728000</v>
      </c>
      <c r="L55" s="158">
        <v>79855</v>
      </c>
      <c r="M55" s="159">
        <v>4.4171130981190403E-2</v>
      </c>
      <c r="N55" s="157" t="s">
        <v>321</v>
      </c>
    </row>
    <row r="56" spans="1:14">
      <c r="A56" s="156">
        <v>55</v>
      </c>
      <c r="B56" s="157" t="s">
        <v>440</v>
      </c>
      <c r="C56" s="156">
        <v>34</v>
      </c>
      <c r="D56" s="157" t="s">
        <v>22</v>
      </c>
      <c r="E56" s="156">
        <v>42</v>
      </c>
      <c r="F56" s="157" t="s">
        <v>1</v>
      </c>
      <c r="G56" s="158">
        <v>540</v>
      </c>
      <c r="H56" s="158">
        <v>4740</v>
      </c>
      <c r="I56" s="158">
        <v>2559600</v>
      </c>
      <c r="J56" s="158">
        <v>3870</v>
      </c>
      <c r="K56" s="158">
        <v>2089800</v>
      </c>
      <c r="L56" s="158">
        <v>469800</v>
      </c>
      <c r="M56" s="159">
        <v>0.183544303797468</v>
      </c>
      <c r="N56" s="157" t="s">
        <v>321</v>
      </c>
    </row>
    <row r="57" spans="1:14">
      <c r="A57" s="156">
        <v>56</v>
      </c>
      <c r="B57" s="157" t="s">
        <v>440</v>
      </c>
      <c r="C57" s="156">
        <v>34</v>
      </c>
      <c r="D57" s="157" t="s">
        <v>22</v>
      </c>
      <c r="E57" s="156">
        <v>57</v>
      </c>
      <c r="F57" s="157" t="s">
        <v>342</v>
      </c>
      <c r="G57" s="158">
        <v>160</v>
      </c>
      <c r="H57" s="158">
        <v>13448</v>
      </c>
      <c r="I57" s="158">
        <v>2151709</v>
      </c>
      <c r="J57" s="158">
        <v>10370</v>
      </c>
      <c r="K57" s="158">
        <v>1659200</v>
      </c>
      <c r="L57" s="158">
        <v>492509</v>
      </c>
      <c r="M57" s="159">
        <v>0.22889201095501299</v>
      </c>
      <c r="N57" s="157" t="s">
        <v>321</v>
      </c>
    </row>
    <row r="58" spans="1:14">
      <c r="A58" s="156">
        <v>57</v>
      </c>
      <c r="B58" s="157" t="s">
        <v>440</v>
      </c>
      <c r="C58" s="156">
        <v>34</v>
      </c>
      <c r="D58" s="157" t="s">
        <v>22</v>
      </c>
      <c r="E58" s="156">
        <v>59</v>
      </c>
      <c r="F58" s="157" t="s">
        <v>344</v>
      </c>
      <c r="G58" s="158">
        <v>40</v>
      </c>
      <c r="H58" s="158">
        <v>19626</v>
      </c>
      <c r="I58" s="158">
        <v>785055</v>
      </c>
      <c r="J58" s="158">
        <v>15191</v>
      </c>
      <c r="K58" s="158">
        <v>607640</v>
      </c>
      <c r="L58" s="158">
        <v>177415</v>
      </c>
      <c r="M58" s="159">
        <v>0.22599053569495101</v>
      </c>
      <c r="N58" s="157" t="s">
        <v>321</v>
      </c>
    </row>
    <row r="59" spans="1:14">
      <c r="A59" s="156">
        <v>58</v>
      </c>
      <c r="B59" s="157" t="s">
        <v>440</v>
      </c>
      <c r="C59" s="156">
        <v>34</v>
      </c>
      <c r="D59" s="157" t="s">
        <v>22</v>
      </c>
      <c r="E59" s="156">
        <v>60</v>
      </c>
      <c r="F59" s="157" t="s">
        <v>345</v>
      </c>
      <c r="G59" s="158">
        <v>110</v>
      </c>
      <c r="H59" s="158">
        <v>24453</v>
      </c>
      <c r="I59" s="158">
        <v>2689800</v>
      </c>
      <c r="J59" s="158">
        <v>19968.181818181802</v>
      </c>
      <c r="K59" s="158">
        <v>2196500</v>
      </c>
      <c r="L59" s="158">
        <v>493300</v>
      </c>
      <c r="M59" s="159">
        <v>0.183396535058369</v>
      </c>
      <c r="N59" s="157" t="s">
        <v>321</v>
      </c>
    </row>
    <row r="60" spans="1:14">
      <c r="A60" s="156">
        <v>59</v>
      </c>
      <c r="B60" s="157" t="s">
        <v>440</v>
      </c>
      <c r="C60" s="156">
        <v>34</v>
      </c>
      <c r="D60" s="157" t="s">
        <v>22</v>
      </c>
      <c r="E60" s="156">
        <v>56</v>
      </c>
      <c r="F60" s="157" t="s">
        <v>341</v>
      </c>
      <c r="G60" s="158">
        <v>40</v>
      </c>
      <c r="H60" s="158">
        <v>36904</v>
      </c>
      <c r="I60" s="158">
        <v>1476145</v>
      </c>
      <c r="J60" s="158">
        <v>29221.8</v>
      </c>
      <c r="K60" s="158">
        <v>1168872</v>
      </c>
      <c r="L60" s="158">
        <v>307273</v>
      </c>
      <c r="M60" s="159">
        <v>0.208159090062291</v>
      </c>
      <c r="N60" s="157" t="s">
        <v>321</v>
      </c>
    </row>
    <row r="61" spans="1:14">
      <c r="A61" s="156">
        <v>60</v>
      </c>
      <c r="B61" s="157" t="s">
        <v>440</v>
      </c>
      <c r="C61" s="156">
        <v>34</v>
      </c>
      <c r="D61" s="157" t="s">
        <v>22</v>
      </c>
      <c r="E61" s="156">
        <v>92</v>
      </c>
      <c r="F61" s="157" t="s">
        <v>377</v>
      </c>
      <c r="G61" s="158">
        <v>1100</v>
      </c>
      <c r="H61" s="158">
        <v>8112</v>
      </c>
      <c r="I61" s="158">
        <v>8923000</v>
      </c>
      <c r="J61" s="158">
        <v>6555</v>
      </c>
      <c r="K61" s="158">
        <v>7210500</v>
      </c>
      <c r="L61" s="158">
        <v>1712500</v>
      </c>
      <c r="M61" s="159">
        <v>0.191919757928948</v>
      </c>
      <c r="N61" s="157" t="s">
        <v>321</v>
      </c>
    </row>
    <row r="62" spans="1:14">
      <c r="A62" s="156">
        <v>61</v>
      </c>
      <c r="B62" s="157" t="s">
        <v>440</v>
      </c>
      <c r="C62" s="156">
        <v>34</v>
      </c>
      <c r="D62" s="157" t="s">
        <v>22</v>
      </c>
      <c r="E62" s="156">
        <v>136</v>
      </c>
      <c r="F62" s="157" t="s">
        <v>421</v>
      </c>
      <c r="G62" s="158">
        <v>155</v>
      </c>
      <c r="H62" s="158">
        <v>8355</v>
      </c>
      <c r="I62" s="158">
        <v>1294955</v>
      </c>
      <c r="J62" s="158">
        <v>6835</v>
      </c>
      <c r="K62" s="158">
        <v>1059425</v>
      </c>
      <c r="L62" s="158">
        <v>235530</v>
      </c>
      <c r="M62" s="159">
        <v>0.18188276812707799</v>
      </c>
      <c r="N62" s="157" t="s">
        <v>321</v>
      </c>
    </row>
    <row r="63" spans="1:14">
      <c r="A63" s="156">
        <v>62</v>
      </c>
      <c r="B63" s="157" t="s">
        <v>440</v>
      </c>
      <c r="C63" s="156">
        <v>34</v>
      </c>
      <c r="D63" s="157" t="s">
        <v>22</v>
      </c>
      <c r="E63" s="156">
        <v>84</v>
      </c>
      <c r="F63" s="157" t="s">
        <v>369</v>
      </c>
      <c r="G63" s="158">
        <v>20</v>
      </c>
      <c r="H63" s="158">
        <v>65913</v>
      </c>
      <c r="I63" s="158">
        <v>1318255</v>
      </c>
      <c r="J63" s="158">
        <v>42709.090909090897</v>
      </c>
      <c r="K63" s="158">
        <v>854181.818181818</v>
      </c>
      <c r="L63" s="158">
        <v>464073.181818182</v>
      </c>
      <c r="M63" s="159">
        <v>0.35203597317528201</v>
      </c>
      <c r="N63" s="157" t="s">
        <v>321</v>
      </c>
    </row>
    <row r="64" spans="1:14">
      <c r="A64" s="156">
        <v>63</v>
      </c>
      <c r="B64" s="157" t="s">
        <v>440</v>
      </c>
      <c r="C64" s="156">
        <v>34</v>
      </c>
      <c r="D64" s="157" t="s">
        <v>22</v>
      </c>
      <c r="E64" s="156">
        <v>121</v>
      </c>
      <c r="F64" s="157" t="s">
        <v>406</v>
      </c>
      <c r="G64" s="158">
        <v>20</v>
      </c>
      <c r="H64" s="158">
        <v>30000</v>
      </c>
      <c r="I64" s="158">
        <v>600000</v>
      </c>
      <c r="J64" s="158">
        <v>17000</v>
      </c>
      <c r="K64" s="158">
        <v>340000</v>
      </c>
      <c r="L64" s="158">
        <v>260000</v>
      </c>
      <c r="M64" s="159">
        <v>0.43333333333333302</v>
      </c>
      <c r="N64" s="157" t="s">
        <v>321</v>
      </c>
    </row>
    <row r="65" spans="1:14">
      <c r="A65" s="156">
        <v>64</v>
      </c>
      <c r="B65" s="157" t="s">
        <v>441</v>
      </c>
      <c r="C65" s="156">
        <v>34</v>
      </c>
      <c r="D65" s="157" t="s">
        <v>22</v>
      </c>
      <c r="E65" s="156">
        <v>42</v>
      </c>
      <c r="F65" s="157" t="s">
        <v>1</v>
      </c>
      <c r="G65" s="158">
        <v>720</v>
      </c>
      <c r="H65" s="158">
        <v>4740</v>
      </c>
      <c r="I65" s="158">
        <v>3412800</v>
      </c>
      <c r="J65" s="158">
        <v>3870</v>
      </c>
      <c r="K65" s="158">
        <v>2786400</v>
      </c>
      <c r="L65" s="158">
        <v>626400</v>
      </c>
      <c r="M65" s="159">
        <v>0.183544303797468</v>
      </c>
      <c r="N65" s="157" t="s">
        <v>321</v>
      </c>
    </row>
    <row r="66" spans="1:14">
      <c r="A66" s="156">
        <v>65</v>
      </c>
      <c r="B66" s="157" t="s">
        <v>441</v>
      </c>
      <c r="C66" s="156">
        <v>34</v>
      </c>
      <c r="D66" s="157" t="s">
        <v>22</v>
      </c>
      <c r="E66" s="156">
        <v>57</v>
      </c>
      <c r="F66" s="157" t="s">
        <v>342</v>
      </c>
      <c r="G66" s="158">
        <v>180</v>
      </c>
      <c r="H66" s="158">
        <v>13448</v>
      </c>
      <c r="I66" s="158">
        <v>2420673</v>
      </c>
      <c r="J66" s="158">
        <v>10370</v>
      </c>
      <c r="K66" s="158">
        <v>1866600</v>
      </c>
      <c r="L66" s="158">
        <v>554073</v>
      </c>
      <c r="M66" s="159">
        <v>0.22889213041166701</v>
      </c>
      <c r="N66" s="157" t="s">
        <v>321</v>
      </c>
    </row>
    <row r="67" spans="1:14">
      <c r="A67" s="156">
        <v>66</v>
      </c>
      <c r="B67" s="157" t="s">
        <v>441</v>
      </c>
      <c r="C67" s="156">
        <v>34</v>
      </c>
      <c r="D67" s="157" t="s">
        <v>22</v>
      </c>
      <c r="E67" s="156">
        <v>59</v>
      </c>
      <c r="F67" s="157" t="s">
        <v>344</v>
      </c>
      <c r="G67" s="158">
        <v>70</v>
      </c>
      <c r="H67" s="158">
        <v>19626</v>
      </c>
      <c r="I67" s="158">
        <v>1373845</v>
      </c>
      <c r="J67" s="158">
        <v>15191</v>
      </c>
      <c r="K67" s="158">
        <v>1063370</v>
      </c>
      <c r="L67" s="158">
        <v>310475</v>
      </c>
      <c r="M67" s="159">
        <v>0.22598983145842499</v>
      </c>
      <c r="N67" s="157" t="s">
        <v>321</v>
      </c>
    </row>
    <row r="68" spans="1:14">
      <c r="A68" s="156">
        <v>67</v>
      </c>
      <c r="B68" s="157" t="s">
        <v>441</v>
      </c>
      <c r="C68" s="156">
        <v>34</v>
      </c>
      <c r="D68" s="157" t="s">
        <v>22</v>
      </c>
      <c r="E68" s="156">
        <v>60</v>
      </c>
      <c r="F68" s="157" t="s">
        <v>345</v>
      </c>
      <c r="G68" s="158">
        <v>103</v>
      </c>
      <c r="H68" s="158">
        <v>24453</v>
      </c>
      <c r="I68" s="158">
        <v>2518631</v>
      </c>
      <c r="J68" s="158">
        <v>19968.181818181802</v>
      </c>
      <c r="K68" s="158">
        <v>2056722.7272727301</v>
      </c>
      <c r="L68" s="158">
        <v>461908.272727273</v>
      </c>
      <c r="M68" s="159">
        <v>0.18339656453338099</v>
      </c>
      <c r="N68" s="157" t="s">
        <v>321</v>
      </c>
    </row>
    <row r="69" spans="1:14">
      <c r="A69" s="156">
        <v>68</v>
      </c>
      <c r="B69" s="157" t="s">
        <v>441</v>
      </c>
      <c r="C69" s="156">
        <v>34</v>
      </c>
      <c r="D69" s="157" t="s">
        <v>22</v>
      </c>
      <c r="E69" s="156">
        <v>56</v>
      </c>
      <c r="F69" s="157" t="s">
        <v>341</v>
      </c>
      <c r="G69" s="158">
        <v>20</v>
      </c>
      <c r="H69" s="158">
        <v>36904</v>
      </c>
      <c r="I69" s="158">
        <v>738073</v>
      </c>
      <c r="J69" s="158">
        <v>29221.8</v>
      </c>
      <c r="K69" s="158">
        <v>584436</v>
      </c>
      <c r="L69" s="158">
        <v>153637</v>
      </c>
      <c r="M69" s="159">
        <v>0.20815962648681099</v>
      </c>
      <c r="N69" s="157" t="s">
        <v>321</v>
      </c>
    </row>
    <row r="70" spans="1:14">
      <c r="A70" s="156">
        <v>69</v>
      </c>
      <c r="B70" s="157" t="s">
        <v>441</v>
      </c>
      <c r="C70" s="156">
        <v>34</v>
      </c>
      <c r="D70" s="157" t="s">
        <v>22</v>
      </c>
      <c r="E70" s="156">
        <v>92</v>
      </c>
      <c r="F70" s="157" t="s">
        <v>377</v>
      </c>
      <c r="G70" s="158">
        <v>1000</v>
      </c>
      <c r="H70" s="158">
        <v>8112</v>
      </c>
      <c r="I70" s="158">
        <v>8111818</v>
      </c>
      <c r="J70" s="158">
        <v>6555</v>
      </c>
      <c r="K70" s="158">
        <v>6555000</v>
      </c>
      <c r="L70" s="158">
        <v>1556818</v>
      </c>
      <c r="M70" s="159">
        <v>0.19191973981664801</v>
      </c>
      <c r="N70" s="157" t="s">
        <v>321</v>
      </c>
    </row>
    <row r="71" spans="1:14">
      <c r="A71" s="156">
        <v>70</v>
      </c>
      <c r="B71" s="157" t="s">
        <v>441</v>
      </c>
      <c r="C71" s="156">
        <v>34</v>
      </c>
      <c r="D71" s="157" t="s">
        <v>22</v>
      </c>
      <c r="E71" s="156">
        <v>136</v>
      </c>
      <c r="F71" s="157" t="s">
        <v>421</v>
      </c>
      <c r="G71" s="158">
        <v>30</v>
      </c>
      <c r="H71" s="158">
        <v>8355</v>
      </c>
      <c r="I71" s="158">
        <v>250636</v>
      </c>
      <c r="J71" s="158">
        <v>6835</v>
      </c>
      <c r="K71" s="158">
        <v>205050</v>
      </c>
      <c r="L71" s="158">
        <v>45586</v>
      </c>
      <c r="M71" s="159">
        <v>0.18188129398809399</v>
      </c>
      <c r="N71" s="157" t="s">
        <v>321</v>
      </c>
    </row>
    <row r="72" spans="1:14">
      <c r="A72" s="156">
        <v>71</v>
      </c>
      <c r="B72" s="157" t="s">
        <v>441</v>
      </c>
      <c r="C72" s="156">
        <v>34</v>
      </c>
      <c r="D72" s="157" t="s">
        <v>22</v>
      </c>
      <c r="E72" s="156">
        <v>84</v>
      </c>
      <c r="F72" s="157" t="s">
        <v>369</v>
      </c>
      <c r="G72" s="158">
        <v>10</v>
      </c>
      <c r="H72" s="158">
        <v>65913</v>
      </c>
      <c r="I72" s="158">
        <v>659127</v>
      </c>
      <c r="J72" s="158">
        <v>42709.090909090897</v>
      </c>
      <c r="K72" s="158">
        <v>427090.909090909</v>
      </c>
      <c r="L72" s="158">
        <v>232036.090909091</v>
      </c>
      <c r="M72" s="159">
        <v>0.35203548164328102</v>
      </c>
      <c r="N72" s="157" t="s">
        <v>321</v>
      </c>
    </row>
    <row r="73" spans="1:14">
      <c r="A73" s="156">
        <v>72</v>
      </c>
      <c r="B73" s="157" t="s">
        <v>440</v>
      </c>
      <c r="C73" s="156">
        <v>13</v>
      </c>
      <c r="D73" s="157" t="s">
        <v>25</v>
      </c>
      <c r="E73" s="156">
        <v>123</v>
      </c>
      <c r="F73" s="157" t="s">
        <v>408</v>
      </c>
      <c r="G73" s="158">
        <v>4</v>
      </c>
      <c r="H73" s="158">
        <v>37273</v>
      </c>
      <c r="I73" s="158">
        <v>149091</v>
      </c>
      <c r="J73" s="158">
        <v>16000</v>
      </c>
      <c r="K73" s="158">
        <v>64000</v>
      </c>
      <c r="L73" s="158">
        <v>85091</v>
      </c>
      <c r="M73" s="159">
        <v>0.57073196906587298</v>
      </c>
      <c r="N73" s="157" t="s">
        <v>321</v>
      </c>
    </row>
    <row r="74" spans="1:14">
      <c r="A74" s="156">
        <v>73</v>
      </c>
      <c r="B74" s="157" t="s">
        <v>440</v>
      </c>
      <c r="C74" s="156">
        <v>13</v>
      </c>
      <c r="D74" s="157" t="s">
        <v>25</v>
      </c>
      <c r="E74" s="156">
        <v>123</v>
      </c>
      <c r="F74" s="157" t="s">
        <v>408</v>
      </c>
      <c r="G74" s="158">
        <v>4</v>
      </c>
      <c r="H74" s="158">
        <v>37273</v>
      </c>
      <c r="I74" s="158">
        <v>149091</v>
      </c>
      <c r="J74" s="158">
        <v>16000</v>
      </c>
      <c r="K74" s="158">
        <v>64000</v>
      </c>
      <c r="L74" s="158">
        <v>85091</v>
      </c>
      <c r="M74" s="159">
        <v>0.57073196906587298</v>
      </c>
      <c r="N74" s="157" t="s">
        <v>321</v>
      </c>
    </row>
    <row r="75" spans="1:14">
      <c r="A75" s="156">
        <v>74</v>
      </c>
      <c r="B75" s="157" t="s">
        <v>440</v>
      </c>
      <c r="C75" s="156">
        <v>13</v>
      </c>
      <c r="D75" s="157" t="s">
        <v>25</v>
      </c>
      <c r="E75" s="156">
        <v>24</v>
      </c>
      <c r="F75" s="157" t="s">
        <v>6</v>
      </c>
      <c r="G75" s="158">
        <v>42</v>
      </c>
      <c r="H75" s="158">
        <v>85909</v>
      </c>
      <c r="I75" s="158">
        <v>3608182</v>
      </c>
      <c r="J75" s="158">
        <v>55000</v>
      </c>
      <c r="K75" s="158">
        <v>2310000</v>
      </c>
      <c r="L75" s="158">
        <v>1298182</v>
      </c>
      <c r="M75" s="159">
        <v>0.35978839204896002</v>
      </c>
      <c r="N75" s="157" t="s">
        <v>321</v>
      </c>
    </row>
    <row r="76" spans="1:14">
      <c r="A76" s="156">
        <v>75</v>
      </c>
      <c r="B76" s="157" t="s">
        <v>440</v>
      </c>
      <c r="C76" s="156">
        <v>13</v>
      </c>
      <c r="D76" s="157" t="s">
        <v>25</v>
      </c>
      <c r="E76" s="156">
        <v>123</v>
      </c>
      <c r="F76" s="157" t="s">
        <v>408</v>
      </c>
      <c r="G76" s="158">
        <v>8</v>
      </c>
      <c r="H76" s="158">
        <v>37273</v>
      </c>
      <c r="I76" s="158">
        <v>298182</v>
      </c>
      <c r="J76" s="158">
        <v>16000</v>
      </c>
      <c r="K76" s="158">
        <v>128000</v>
      </c>
      <c r="L76" s="158">
        <v>170182</v>
      </c>
      <c r="M76" s="159">
        <v>0.57073196906587298</v>
      </c>
      <c r="N76" s="157" t="s">
        <v>321</v>
      </c>
    </row>
    <row r="77" spans="1:14">
      <c r="A77" s="156">
        <v>76</v>
      </c>
      <c r="B77" s="157" t="s">
        <v>440</v>
      </c>
      <c r="C77" s="156">
        <v>13</v>
      </c>
      <c r="D77" s="157" t="s">
        <v>25</v>
      </c>
      <c r="E77" s="156">
        <v>14</v>
      </c>
      <c r="F77" s="157" t="s">
        <v>23</v>
      </c>
      <c r="G77" s="158">
        <v>325</v>
      </c>
      <c r="H77" s="158">
        <v>7699</v>
      </c>
      <c r="I77" s="158">
        <v>2502205</v>
      </c>
      <c r="J77" s="158">
        <v>3000</v>
      </c>
      <c r="K77" s="158">
        <v>975000</v>
      </c>
      <c r="L77" s="158">
        <v>1527205</v>
      </c>
      <c r="M77" s="159">
        <v>0.61034367687699498</v>
      </c>
      <c r="N77" s="157" t="s">
        <v>321</v>
      </c>
    </row>
    <row r="78" spans="1:14">
      <c r="A78" s="156">
        <v>77</v>
      </c>
      <c r="B78" s="157" t="s">
        <v>440</v>
      </c>
      <c r="C78" s="156">
        <v>13</v>
      </c>
      <c r="D78" s="157" t="s">
        <v>25</v>
      </c>
      <c r="E78" s="156">
        <v>30</v>
      </c>
      <c r="F78" s="157" t="s">
        <v>24</v>
      </c>
      <c r="G78" s="158">
        <v>240</v>
      </c>
      <c r="H78" s="158">
        <v>18091</v>
      </c>
      <c r="I78" s="158">
        <v>4341818</v>
      </c>
      <c r="J78" s="158">
        <v>14500</v>
      </c>
      <c r="K78" s="158">
        <v>3480000</v>
      </c>
      <c r="L78" s="158">
        <v>861818</v>
      </c>
      <c r="M78" s="159">
        <v>0.19849242874758899</v>
      </c>
      <c r="N78" s="157" t="s">
        <v>321</v>
      </c>
    </row>
    <row r="79" spans="1:14">
      <c r="A79" s="156">
        <v>78</v>
      </c>
      <c r="B79" s="157" t="s">
        <v>441</v>
      </c>
      <c r="C79" s="156">
        <v>13</v>
      </c>
      <c r="D79" s="157" t="s">
        <v>25</v>
      </c>
      <c r="E79" s="156">
        <v>123</v>
      </c>
      <c r="F79" s="157" t="s">
        <v>408</v>
      </c>
      <c r="G79" s="158">
        <v>8</v>
      </c>
      <c r="H79" s="158">
        <v>37273</v>
      </c>
      <c r="I79" s="158">
        <v>298182</v>
      </c>
      <c r="J79" s="158">
        <v>16000</v>
      </c>
      <c r="K79" s="158">
        <v>128000</v>
      </c>
      <c r="L79" s="158">
        <v>170182</v>
      </c>
      <c r="M79" s="159">
        <v>0.57073196906587298</v>
      </c>
      <c r="N79" s="157" t="s">
        <v>321</v>
      </c>
    </row>
    <row r="80" spans="1:14">
      <c r="A80" s="156">
        <v>79</v>
      </c>
      <c r="B80" s="157" t="s">
        <v>441</v>
      </c>
      <c r="C80" s="156">
        <v>13</v>
      </c>
      <c r="D80" s="157" t="s">
        <v>25</v>
      </c>
      <c r="E80" s="156">
        <v>123</v>
      </c>
      <c r="F80" s="157" t="s">
        <v>408</v>
      </c>
      <c r="G80" s="158">
        <v>8</v>
      </c>
      <c r="H80" s="158">
        <v>37273</v>
      </c>
      <c r="I80" s="158">
        <v>298182</v>
      </c>
      <c r="J80" s="158">
        <v>16000</v>
      </c>
      <c r="K80" s="158">
        <v>128000</v>
      </c>
      <c r="L80" s="158">
        <v>170182</v>
      </c>
      <c r="M80" s="159">
        <v>0.57073196906587298</v>
      </c>
      <c r="N80" s="157" t="s">
        <v>321</v>
      </c>
    </row>
    <row r="81" spans="1:14">
      <c r="A81" s="156">
        <v>80</v>
      </c>
      <c r="B81" s="157" t="s">
        <v>441</v>
      </c>
      <c r="C81" s="156">
        <v>13</v>
      </c>
      <c r="D81" s="157" t="s">
        <v>25</v>
      </c>
      <c r="E81" s="156">
        <v>123</v>
      </c>
      <c r="F81" s="157" t="s">
        <v>408</v>
      </c>
      <c r="G81" s="158">
        <v>4</v>
      </c>
      <c r="H81" s="158">
        <v>37273</v>
      </c>
      <c r="I81" s="158">
        <v>149091</v>
      </c>
      <c r="J81" s="158">
        <v>16000</v>
      </c>
      <c r="K81" s="158">
        <v>64000</v>
      </c>
      <c r="L81" s="158">
        <v>85091</v>
      </c>
      <c r="M81" s="159">
        <v>0.57073196906587298</v>
      </c>
      <c r="N81" s="157" t="s">
        <v>321</v>
      </c>
    </row>
    <row r="82" spans="1:14">
      <c r="A82" s="156">
        <v>81</v>
      </c>
      <c r="B82" s="157" t="s">
        <v>441</v>
      </c>
      <c r="C82" s="156">
        <v>13</v>
      </c>
      <c r="D82" s="157" t="s">
        <v>25</v>
      </c>
      <c r="E82" s="156">
        <v>14</v>
      </c>
      <c r="F82" s="157" t="s">
        <v>23</v>
      </c>
      <c r="G82" s="158">
        <v>375</v>
      </c>
      <c r="H82" s="158">
        <v>7699</v>
      </c>
      <c r="I82" s="158">
        <v>2887159</v>
      </c>
      <c r="J82" s="158">
        <v>3000</v>
      </c>
      <c r="K82" s="158">
        <v>1125000</v>
      </c>
      <c r="L82" s="158">
        <v>1762159</v>
      </c>
      <c r="M82" s="159">
        <v>0.61034359382354797</v>
      </c>
      <c r="N82" s="157" t="s">
        <v>321</v>
      </c>
    </row>
    <row r="83" spans="1:14">
      <c r="A83" s="156">
        <v>82</v>
      </c>
      <c r="B83" s="157" t="s">
        <v>441</v>
      </c>
      <c r="C83" s="156">
        <v>13</v>
      </c>
      <c r="D83" s="157" t="s">
        <v>25</v>
      </c>
      <c r="E83" s="156">
        <v>30</v>
      </c>
      <c r="F83" s="157" t="s">
        <v>24</v>
      </c>
      <c r="G83" s="158">
        <v>240</v>
      </c>
      <c r="H83" s="158">
        <v>18091</v>
      </c>
      <c r="I83" s="158">
        <v>4341819</v>
      </c>
      <c r="J83" s="158">
        <v>14500</v>
      </c>
      <c r="K83" s="158">
        <v>3480000</v>
      </c>
      <c r="L83" s="158">
        <v>861819</v>
      </c>
      <c r="M83" s="159">
        <v>0.19849261334938201</v>
      </c>
      <c r="N83" s="157" t="s">
        <v>321</v>
      </c>
    </row>
    <row r="84" spans="1:14">
      <c r="A84" s="156">
        <v>83</v>
      </c>
      <c r="B84" s="157" t="s">
        <v>440</v>
      </c>
      <c r="C84" s="156">
        <v>1</v>
      </c>
      <c r="D84" s="157" t="s">
        <v>26</v>
      </c>
      <c r="E84" s="156">
        <v>42</v>
      </c>
      <c r="F84" s="157" t="s">
        <v>1</v>
      </c>
      <c r="G84" s="158">
        <v>310</v>
      </c>
      <c r="H84" s="158">
        <v>37360</v>
      </c>
      <c r="I84" s="158">
        <v>1447700</v>
      </c>
      <c r="J84" s="158">
        <v>3860</v>
      </c>
      <c r="K84" s="158">
        <v>1196600</v>
      </c>
      <c r="L84" s="158">
        <v>251100</v>
      </c>
      <c r="M84" s="159">
        <v>0.17344753747323299</v>
      </c>
      <c r="N84" s="157" t="s">
        <v>321</v>
      </c>
    </row>
    <row r="85" spans="1:14">
      <c r="A85" s="156">
        <v>84</v>
      </c>
      <c r="B85" s="157" t="s">
        <v>441</v>
      </c>
      <c r="C85" s="156">
        <v>1</v>
      </c>
      <c r="D85" s="157" t="s">
        <v>26</v>
      </c>
      <c r="E85" s="156">
        <v>42</v>
      </c>
      <c r="F85" s="157" t="s">
        <v>1</v>
      </c>
      <c r="G85" s="158">
        <v>430</v>
      </c>
      <c r="H85" s="158">
        <v>32690</v>
      </c>
      <c r="I85" s="158">
        <v>2008100</v>
      </c>
      <c r="J85" s="158">
        <v>3860</v>
      </c>
      <c r="K85" s="158">
        <v>1659800</v>
      </c>
      <c r="L85" s="158">
        <v>348300</v>
      </c>
      <c r="M85" s="159">
        <v>0.17344753747323299</v>
      </c>
      <c r="N85" s="157" t="s">
        <v>321</v>
      </c>
    </row>
    <row r="86" spans="1:14">
      <c r="A86" s="156">
        <v>85</v>
      </c>
      <c r="B86" s="157" t="s">
        <v>440</v>
      </c>
      <c r="C86" s="156">
        <v>9</v>
      </c>
      <c r="D86" s="157" t="s">
        <v>27</v>
      </c>
      <c r="E86" s="156">
        <v>135</v>
      </c>
      <c r="F86" s="157" t="s">
        <v>420</v>
      </c>
      <c r="G86" s="158">
        <v>920</v>
      </c>
      <c r="H86" s="158">
        <v>7860</v>
      </c>
      <c r="I86" s="158">
        <v>7231200</v>
      </c>
      <c r="J86" s="158">
        <v>6227</v>
      </c>
      <c r="K86" s="158">
        <v>5728840</v>
      </c>
      <c r="L86" s="158">
        <v>1502360</v>
      </c>
      <c r="M86" s="159">
        <v>0.20776081424936399</v>
      </c>
      <c r="N86" s="157" t="s">
        <v>321</v>
      </c>
    </row>
    <row r="87" spans="1:14">
      <c r="A87" s="156">
        <v>86</v>
      </c>
      <c r="B87" s="157" t="s">
        <v>440</v>
      </c>
      <c r="C87" s="156">
        <v>9</v>
      </c>
      <c r="D87" s="157" t="s">
        <v>27</v>
      </c>
      <c r="E87" s="156">
        <v>136</v>
      </c>
      <c r="F87" s="157" t="s">
        <v>421</v>
      </c>
      <c r="G87" s="158">
        <v>36</v>
      </c>
      <c r="H87" s="158">
        <v>8100</v>
      </c>
      <c r="I87" s="158">
        <v>291600</v>
      </c>
      <c r="J87" s="158">
        <v>6414</v>
      </c>
      <c r="K87" s="158">
        <v>230904</v>
      </c>
      <c r="L87" s="158">
        <v>60696</v>
      </c>
      <c r="M87" s="159">
        <v>0.208148148148148</v>
      </c>
      <c r="N87" s="157" t="s">
        <v>321</v>
      </c>
    </row>
    <row r="88" spans="1:14">
      <c r="A88" s="156">
        <v>87</v>
      </c>
      <c r="B88" s="157" t="s">
        <v>440</v>
      </c>
      <c r="C88" s="156">
        <v>9</v>
      </c>
      <c r="D88" s="157" t="s">
        <v>27</v>
      </c>
      <c r="E88" s="156">
        <v>42</v>
      </c>
      <c r="F88" s="157" t="s">
        <v>1</v>
      </c>
      <c r="G88" s="158">
        <v>940</v>
      </c>
      <c r="H88" s="158">
        <v>4690</v>
      </c>
      <c r="I88" s="158">
        <v>4408600</v>
      </c>
      <c r="J88" s="158">
        <v>3860</v>
      </c>
      <c r="K88" s="158">
        <v>3628400</v>
      </c>
      <c r="L88" s="158">
        <v>780200</v>
      </c>
      <c r="M88" s="159">
        <v>0.17697228144989299</v>
      </c>
      <c r="N88" s="157" t="s">
        <v>321</v>
      </c>
    </row>
    <row r="89" spans="1:14">
      <c r="A89" s="156">
        <v>88</v>
      </c>
      <c r="B89" s="157" t="s">
        <v>441</v>
      </c>
      <c r="C89" s="156">
        <v>9</v>
      </c>
      <c r="D89" s="157" t="s">
        <v>27</v>
      </c>
      <c r="E89" s="156">
        <v>135</v>
      </c>
      <c r="F89" s="157" t="s">
        <v>420</v>
      </c>
      <c r="G89" s="158">
        <v>720</v>
      </c>
      <c r="H89" s="158">
        <v>7860</v>
      </c>
      <c r="I89" s="158">
        <v>5659200</v>
      </c>
      <c r="J89" s="158">
        <v>6227</v>
      </c>
      <c r="K89" s="158">
        <v>4483440</v>
      </c>
      <c r="L89" s="158">
        <v>1175760</v>
      </c>
      <c r="M89" s="159">
        <v>0.20776081424936399</v>
      </c>
      <c r="N89" s="157" t="s">
        <v>321</v>
      </c>
    </row>
    <row r="90" spans="1:14">
      <c r="A90" s="156">
        <v>89</v>
      </c>
      <c r="B90" s="157" t="s">
        <v>441</v>
      </c>
      <c r="C90" s="156">
        <v>9</v>
      </c>
      <c r="D90" s="157" t="s">
        <v>27</v>
      </c>
      <c r="E90" s="156">
        <v>136</v>
      </c>
      <c r="F90" s="157" t="s">
        <v>421</v>
      </c>
      <c r="G90" s="158">
        <v>20</v>
      </c>
      <c r="H90" s="158">
        <v>8100</v>
      </c>
      <c r="I90" s="158">
        <v>162000</v>
      </c>
      <c r="J90" s="158">
        <v>6414</v>
      </c>
      <c r="K90" s="158">
        <v>128280</v>
      </c>
      <c r="L90" s="158">
        <v>33720</v>
      </c>
      <c r="M90" s="159">
        <v>0.208148148148148</v>
      </c>
      <c r="N90" s="157" t="s">
        <v>321</v>
      </c>
    </row>
    <row r="91" spans="1:14">
      <c r="A91" s="156">
        <v>90</v>
      </c>
      <c r="B91" s="157" t="s">
        <v>441</v>
      </c>
      <c r="C91" s="156">
        <v>9</v>
      </c>
      <c r="D91" s="157" t="s">
        <v>27</v>
      </c>
      <c r="E91" s="156">
        <v>42</v>
      </c>
      <c r="F91" s="157" t="s">
        <v>1</v>
      </c>
      <c r="G91" s="158">
        <v>730</v>
      </c>
      <c r="H91" s="158">
        <v>4690</v>
      </c>
      <c r="I91" s="158">
        <v>3423700</v>
      </c>
      <c r="J91" s="158">
        <v>3860</v>
      </c>
      <c r="K91" s="158">
        <v>2817800</v>
      </c>
      <c r="L91" s="158">
        <v>605900</v>
      </c>
      <c r="M91" s="159">
        <v>0.17697228144989299</v>
      </c>
      <c r="N91" s="157" t="s">
        <v>321</v>
      </c>
    </row>
    <row r="92" spans="1:14">
      <c r="A92" s="156">
        <v>91</v>
      </c>
      <c r="B92" s="157" t="s">
        <v>440</v>
      </c>
      <c r="C92" s="156">
        <v>22</v>
      </c>
      <c r="D92" s="157" t="s">
        <v>30</v>
      </c>
      <c r="E92" s="156">
        <v>9</v>
      </c>
      <c r="F92" s="157" t="s">
        <v>11</v>
      </c>
      <c r="G92" s="158">
        <v>300</v>
      </c>
      <c r="H92" s="158">
        <v>450</v>
      </c>
      <c r="I92" s="158">
        <v>135000</v>
      </c>
      <c r="J92" s="158">
        <v>435</v>
      </c>
      <c r="K92" s="158">
        <v>130500</v>
      </c>
      <c r="L92" s="158">
        <v>4500</v>
      </c>
      <c r="M92" s="159">
        <v>3.3333333333333298E-2</v>
      </c>
      <c r="N92" s="157" t="s">
        <v>321</v>
      </c>
    </row>
    <row r="93" spans="1:14">
      <c r="A93" s="156">
        <v>92</v>
      </c>
      <c r="B93" s="157" t="s">
        <v>440</v>
      </c>
      <c r="C93" s="156">
        <v>22</v>
      </c>
      <c r="D93" s="157" t="s">
        <v>30</v>
      </c>
      <c r="E93" s="156">
        <v>11</v>
      </c>
      <c r="F93" s="157" t="s">
        <v>12</v>
      </c>
      <c r="G93" s="158">
        <v>750</v>
      </c>
      <c r="H93" s="158">
        <v>450</v>
      </c>
      <c r="I93" s="158">
        <v>337500</v>
      </c>
      <c r="J93" s="158">
        <v>435</v>
      </c>
      <c r="K93" s="158">
        <v>326250</v>
      </c>
      <c r="L93" s="158">
        <v>11250</v>
      </c>
      <c r="M93" s="159">
        <v>3.3333333333333298E-2</v>
      </c>
      <c r="N93" s="157" t="s">
        <v>321</v>
      </c>
    </row>
    <row r="94" spans="1:14">
      <c r="A94" s="156">
        <v>93</v>
      </c>
      <c r="B94" s="157" t="s">
        <v>440</v>
      </c>
      <c r="C94" s="156">
        <v>22</v>
      </c>
      <c r="D94" s="157" t="s">
        <v>30</v>
      </c>
      <c r="E94" s="156">
        <v>18</v>
      </c>
      <c r="F94" s="157" t="s">
        <v>28</v>
      </c>
      <c r="G94" s="158">
        <v>61</v>
      </c>
      <c r="H94" s="158">
        <v>13600</v>
      </c>
      <c r="I94" s="158">
        <v>829600</v>
      </c>
      <c r="J94" s="158">
        <v>13000</v>
      </c>
      <c r="K94" s="158">
        <v>793000</v>
      </c>
      <c r="L94" s="158">
        <v>36600</v>
      </c>
      <c r="M94" s="159">
        <v>4.4117647058823498E-2</v>
      </c>
      <c r="N94" s="157" t="s">
        <v>321</v>
      </c>
    </row>
    <row r="95" spans="1:14">
      <c r="A95" s="156">
        <v>94</v>
      </c>
      <c r="B95" s="157" t="s">
        <v>440</v>
      </c>
      <c r="C95" s="156">
        <v>22</v>
      </c>
      <c r="D95" s="157" t="s">
        <v>30</v>
      </c>
      <c r="E95" s="156">
        <v>20</v>
      </c>
      <c r="F95" s="157" t="s">
        <v>2</v>
      </c>
      <c r="G95" s="158">
        <v>359</v>
      </c>
      <c r="H95" s="158">
        <v>13600</v>
      </c>
      <c r="I95" s="158">
        <v>4882400</v>
      </c>
      <c r="J95" s="158">
        <v>13000</v>
      </c>
      <c r="K95" s="158">
        <v>4667000</v>
      </c>
      <c r="L95" s="158">
        <v>215400</v>
      </c>
      <c r="M95" s="159">
        <v>4.4117647058823498E-2</v>
      </c>
      <c r="N95" s="157" t="s">
        <v>321</v>
      </c>
    </row>
    <row r="96" spans="1:14">
      <c r="A96" s="156">
        <v>95</v>
      </c>
      <c r="B96" s="157" t="s">
        <v>440</v>
      </c>
      <c r="C96" s="156">
        <v>22</v>
      </c>
      <c r="D96" s="157" t="s">
        <v>30</v>
      </c>
      <c r="E96" s="156">
        <v>22</v>
      </c>
      <c r="F96" s="157" t="s">
        <v>10</v>
      </c>
      <c r="G96" s="158">
        <v>396</v>
      </c>
      <c r="H96" s="158">
        <v>13600</v>
      </c>
      <c r="I96" s="158">
        <v>5385600</v>
      </c>
      <c r="J96" s="158">
        <v>13000</v>
      </c>
      <c r="K96" s="158">
        <v>5148000</v>
      </c>
      <c r="L96" s="158">
        <v>237600</v>
      </c>
      <c r="M96" s="159">
        <v>4.4117647058823498E-2</v>
      </c>
      <c r="N96" s="157" t="s">
        <v>321</v>
      </c>
    </row>
    <row r="97" spans="1:14">
      <c r="A97" s="156">
        <v>96</v>
      </c>
      <c r="B97" s="157" t="s">
        <v>440</v>
      </c>
      <c r="C97" s="156">
        <v>22</v>
      </c>
      <c r="D97" s="157" t="s">
        <v>30</v>
      </c>
      <c r="E97" s="156">
        <v>15</v>
      </c>
      <c r="F97" s="157" t="s">
        <v>29</v>
      </c>
      <c r="G97" s="158">
        <v>837</v>
      </c>
      <c r="H97" s="158">
        <v>5400</v>
      </c>
      <c r="I97" s="158">
        <v>4519800</v>
      </c>
      <c r="J97" s="158">
        <v>5000</v>
      </c>
      <c r="K97" s="158">
        <v>4185000</v>
      </c>
      <c r="L97" s="158">
        <v>334800</v>
      </c>
      <c r="M97" s="159">
        <v>7.4074074074074098E-2</v>
      </c>
      <c r="N97" s="157" t="s">
        <v>321</v>
      </c>
    </row>
    <row r="98" spans="1:14">
      <c r="A98" s="156">
        <v>97</v>
      </c>
      <c r="B98" s="157" t="s">
        <v>440</v>
      </c>
      <c r="C98" s="156">
        <v>22</v>
      </c>
      <c r="D98" s="157" t="s">
        <v>30</v>
      </c>
      <c r="E98" s="156">
        <v>49</v>
      </c>
      <c r="F98" s="157" t="s">
        <v>13</v>
      </c>
      <c r="G98" s="158">
        <v>21</v>
      </c>
      <c r="H98" s="158">
        <v>17750</v>
      </c>
      <c r="I98" s="158">
        <v>372750</v>
      </c>
      <c r="J98" s="158">
        <v>15000</v>
      </c>
      <c r="K98" s="158">
        <v>315000</v>
      </c>
      <c r="L98" s="158">
        <v>57750</v>
      </c>
      <c r="M98" s="159">
        <v>0.154929577464789</v>
      </c>
      <c r="N98" s="157" t="s">
        <v>321</v>
      </c>
    </row>
    <row r="99" spans="1:14">
      <c r="A99" s="156">
        <v>98</v>
      </c>
      <c r="B99" s="157" t="s">
        <v>440</v>
      </c>
      <c r="C99" s="156">
        <v>22</v>
      </c>
      <c r="D99" s="157" t="s">
        <v>30</v>
      </c>
      <c r="E99" s="156">
        <v>123</v>
      </c>
      <c r="F99" s="157" t="s">
        <v>408</v>
      </c>
      <c r="G99" s="158">
        <v>35</v>
      </c>
      <c r="H99" s="158">
        <v>18000</v>
      </c>
      <c r="I99" s="158">
        <v>630000</v>
      </c>
      <c r="J99" s="158">
        <v>16000</v>
      </c>
      <c r="K99" s="158">
        <v>560000</v>
      </c>
      <c r="L99" s="158">
        <v>70000</v>
      </c>
      <c r="M99" s="159">
        <v>0.11111111111111099</v>
      </c>
      <c r="N99" s="157" t="s">
        <v>321</v>
      </c>
    </row>
    <row r="100" spans="1:14">
      <c r="A100" s="156">
        <v>99</v>
      </c>
      <c r="B100" s="157" t="s">
        <v>440</v>
      </c>
      <c r="C100" s="156">
        <v>22</v>
      </c>
      <c r="D100" s="157" t="s">
        <v>30</v>
      </c>
      <c r="E100" s="156">
        <v>24</v>
      </c>
      <c r="F100" s="157" t="s">
        <v>6</v>
      </c>
      <c r="G100" s="158">
        <v>18</v>
      </c>
      <c r="H100" s="158">
        <v>50000</v>
      </c>
      <c r="I100" s="158">
        <v>900000</v>
      </c>
      <c r="J100" s="158">
        <v>55000</v>
      </c>
      <c r="K100" s="158">
        <v>990000</v>
      </c>
      <c r="L100" s="158">
        <v>-90000</v>
      </c>
      <c r="M100" s="159">
        <v>-0.1</v>
      </c>
      <c r="N100" s="157" t="s">
        <v>321</v>
      </c>
    </row>
    <row r="101" spans="1:14">
      <c r="A101" s="156">
        <v>100</v>
      </c>
      <c r="B101" s="157" t="s">
        <v>441</v>
      </c>
      <c r="C101" s="156">
        <v>22</v>
      </c>
      <c r="D101" s="157" t="s">
        <v>30</v>
      </c>
      <c r="E101" s="156">
        <v>9</v>
      </c>
      <c r="F101" s="157" t="s">
        <v>11</v>
      </c>
      <c r="G101" s="158">
        <v>300</v>
      </c>
      <c r="H101" s="158">
        <v>450</v>
      </c>
      <c r="I101" s="158">
        <v>135000</v>
      </c>
      <c r="J101" s="158">
        <v>435</v>
      </c>
      <c r="K101" s="158">
        <v>130500</v>
      </c>
      <c r="L101" s="158">
        <v>4500</v>
      </c>
      <c r="M101" s="159">
        <v>3.3333333333333298E-2</v>
      </c>
      <c r="N101" s="157" t="s">
        <v>321</v>
      </c>
    </row>
    <row r="102" spans="1:14">
      <c r="A102" s="156">
        <v>101</v>
      </c>
      <c r="B102" s="157" t="s">
        <v>441</v>
      </c>
      <c r="C102" s="156">
        <v>22</v>
      </c>
      <c r="D102" s="157" t="s">
        <v>30</v>
      </c>
      <c r="E102" s="156">
        <v>11</v>
      </c>
      <c r="F102" s="157" t="s">
        <v>12</v>
      </c>
      <c r="G102" s="158">
        <v>900</v>
      </c>
      <c r="H102" s="158">
        <v>450</v>
      </c>
      <c r="I102" s="158">
        <v>405000</v>
      </c>
      <c r="J102" s="158">
        <v>435</v>
      </c>
      <c r="K102" s="158">
        <v>391500</v>
      </c>
      <c r="L102" s="158">
        <v>13500</v>
      </c>
      <c r="M102" s="159">
        <v>3.3333333333333298E-2</v>
      </c>
      <c r="N102" s="157" t="s">
        <v>321</v>
      </c>
    </row>
    <row r="103" spans="1:14">
      <c r="A103" s="156">
        <v>102</v>
      </c>
      <c r="B103" s="157" t="s">
        <v>441</v>
      </c>
      <c r="C103" s="156">
        <v>22</v>
      </c>
      <c r="D103" s="157" t="s">
        <v>30</v>
      </c>
      <c r="E103" s="156">
        <v>18</v>
      </c>
      <c r="F103" s="157" t="s">
        <v>28</v>
      </c>
      <c r="G103" s="158">
        <v>56</v>
      </c>
      <c r="H103" s="158">
        <v>13600</v>
      </c>
      <c r="I103" s="158">
        <v>761600</v>
      </c>
      <c r="J103" s="158">
        <v>13000</v>
      </c>
      <c r="K103" s="158">
        <v>728000</v>
      </c>
      <c r="L103" s="158">
        <v>33600</v>
      </c>
      <c r="M103" s="159">
        <v>4.4117647058823498E-2</v>
      </c>
      <c r="N103" s="157" t="s">
        <v>321</v>
      </c>
    </row>
    <row r="104" spans="1:14">
      <c r="A104" s="156">
        <v>103</v>
      </c>
      <c r="B104" s="157" t="s">
        <v>441</v>
      </c>
      <c r="C104" s="156">
        <v>22</v>
      </c>
      <c r="D104" s="157" t="s">
        <v>30</v>
      </c>
      <c r="E104" s="156">
        <v>20</v>
      </c>
      <c r="F104" s="157" t="s">
        <v>2</v>
      </c>
      <c r="G104" s="158">
        <v>314</v>
      </c>
      <c r="H104" s="158">
        <v>13600</v>
      </c>
      <c r="I104" s="158">
        <v>4270400</v>
      </c>
      <c r="J104" s="158">
        <v>13000</v>
      </c>
      <c r="K104" s="158">
        <v>4082000</v>
      </c>
      <c r="L104" s="158">
        <v>188400</v>
      </c>
      <c r="M104" s="159">
        <v>4.4117647058823498E-2</v>
      </c>
      <c r="N104" s="157" t="s">
        <v>321</v>
      </c>
    </row>
    <row r="105" spans="1:14">
      <c r="A105" s="156">
        <v>104</v>
      </c>
      <c r="B105" s="157" t="s">
        <v>441</v>
      </c>
      <c r="C105" s="156">
        <v>22</v>
      </c>
      <c r="D105" s="157" t="s">
        <v>30</v>
      </c>
      <c r="E105" s="156">
        <v>22</v>
      </c>
      <c r="F105" s="157" t="s">
        <v>10</v>
      </c>
      <c r="G105" s="158">
        <v>350</v>
      </c>
      <c r="H105" s="158">
        <v>13600</v>
      </c>
      <c r="I105" s="158">
        <v>4760000</v>
      </c>
      <c r="J105" s="158">
        <v>13000</v>
      </c>
      <c r="K105" s="158">
        <v>4550000</v>
      </c>
      <c r="L105" s="158">
        <v>210000</v>
      </c>
      <c r="M105" s="159">
        <v>4.4117647058823498E-2</v>
      </c>
      <c r="N105" s="157" t="s">
        <v>321</v>
      </c>
    </row>
    <row r="106" spans="1:14">
      <c r="A106" s="156">
        <v>105</v>
      </c>
      <c r="B106" s="157" t="s">
        <v>441</v>
      </c>
      <c r="C106" s="156">
        <v>22</v>
      </c>
      <c r="D106" s="157" t="s">
        <v>30</v>
      </c>
      <c r="E106" s="156">
        <v>15</v>
      </c>
      <c r="F106" s="157" t="s">
        <v>29</v>
      </c>
      <c r="G106" s="158">
        <v>743</v>
      </c>
      <c r="H106" s="158">
        <v>5400</v>
      </c>
      <c r="I106" s="158">
        <v>4012200</v>
      </c>
      <c r="J106" s="158">
        <v>5000</v>
      </c>
      <c r="K106" s="158">
        <v>3715000</v>
      </c>
      <c r="L106" s="158">
        <v>297200</v>
      </c>
      <c r="M106" s="159">
        <v>7.4074074074074098E-2</v>
      </c>
      <c r="N106" s="157" t="s">
        <v>321</v>
      </c>
    </row>
    <row r="107" spans="1:14">
      <c r="A107" s="156">
        <v>106</v>
      </c>
      <c r="B107" s="157" t="s">
        <v>441</v>
      </c>
      <c r="C107" s="156">
        <v>22</v>
      </c>
      <c r="D107" s="157" t="s">
        <v>30</v>
      </c>
      <c r="E107" s="156">
        <v>49</v>
      </c>
      <c r="F107" s="157" t="s">
        <v>13</v>
      </c>
      <c r="G107" s="158">
        <v>22</v>
      </c>
      <c r="H107" s="158">
        <v>17750</v>
      </c>
      <c r="I107" s="158">
        <v>390500</v>
      </c>
      <c r="J107" s="158">
        <v>15000</v>
      </c>
      <c r="K107" s="158">
        <v>330000</v>
      </c>
      <c r="L107" s="158">
        <v>60500</v>
      </c>
      <c r="M107" s="159">
        <v>0.154929577464789</v>
      </c>
      <c r="N107" s="157" t="s">
        <v>321</v>
      </c>
    </row>
    <row r="108" spans="1:14">
      <c r="A108" s="156">
        <v>107</v>
      </c>
      <c r="B108" s="157" t="s">
        <v>441</v>
      </c>
      <c r="C108" s="156">
        <v>22</v>
      </c>
      <c r="D108" s="157" t="s">
        <v>30</v>
      </c>
      <c r="E108" s="156">
        <v>123</v>
      </c>
      <c r="F108" s="157" t="s">
        <v>408</v>
      </c>
      <c r="G108" s="158">
        <v>9</v>
      </c>
      <c r="H108" s="158">
        <v>18000</v>
      </c>
      <c r="I108" s="158">
        <v>162000</v>
      </c>
      <c r="J108" s="158">
        <v>16000</v>
      </c>
      <c r="K108" s="158">
        <v>144000</v>
      </c>
      <c r="L108" s="158">
        <v>18000</v>
      </c>
      <c r="M108" s="159">
        <v>0.11111111111111099</v>
      </c>
      <c r="N108" s="157" t="s">
        <v>321</v>
      </c>
    </row>
    <row r="109" spans="1:14">
      <c r="A109" s="156">
        <v>108</v>
      </c>
      <c r="B109" s="157" t="s">
        <v>440</v>
      </c>
      <c r="C109" s="156">
        <v>15</v>
      </c>
      <c r="D109" s="157" t="s">
        <v>31</v>
      </c>
      <c r="E109" s="156">
        <v>47</v>
      </c>
      <c r="F109" s="157" t="s">
        <v>4</v>
      </c>
      <c r="G109" s="158">
        <v>240</v>
      </c>
      <c r="H109" s="158">
        <v>74473</v>
      </c>
      <c r="I109" s="158">
        <v>4468364</v>
      </c>
      <c r="J109" s="158">
        <v>11400</v>
      </c>
      <c r="K109" s="158">
        <v>2736000</v>
      </c>
      <c r="L109" s="158">
        <v>1732364</v>
      </c>
      <c r="M109" s="159">
        <v>0.38769536232947899</v>
      </c>
      <c r="N109" s="157" t="s">
        <v>321</v>
      </c>
    </row>
    <row r="110" spans="1:14">
      <c r="A110" s="156">
        <v>109</v>
      </c>
      <c r="B110" s="157" t="s">
        <v>441</v>
      </c>
      <c r="C110" s="156">
        <v>15</v>
      </c>
      <c r="D110" s="157" t="s">
        <v>31</v>
      </c>
      <c r="E110" s="156">
        <v>47</v>
      </c>
      <c r="F110" s="157" t="s">
        <v>4</v>
      </c>
      <c r="G110" s="158">
        <v>180</v>
      </c>
      <c r="H110" s="158">
        <v>55855</v>
      </c>
      <c r="I110" s="158">
        <v>3351273</v>
      </c>
      <c r="J110" s="158">
        <v>11400</v>
      </c>
      <c r="K110" s="158">
        <v>2052000</v>
      </c>
      <c r="L110" s="158">
        <v>1299273</v>
      </c>
      <c r="M110" s="159">
        <v>0.38769536232947899</v>
      </c>
      <c r="N110" s="157" t="s">
        <v>321</v>
      </c>
    </row>
    <row r="111" spans="1:14">
      <c r="A111" s="156">
        <v>110</v>
      </c>
      <c r="B111" s="157" t="s">
        <v>440</v>
      </c>
      <c r="C111" s="156">
        <v>14</v>
      </c>
      <c r="D111" s="157" t="s">
        <v>32</v>
      </c>
      <c r="E111" s="156">
        <v>48</v>
      </c>
      <c r="F111" s="157" t="s">
        <v>5</v>
      </c>
      <c r="G111" s="158">
        <v>100</v>
      </c>
      <c r="H111" s="158">
        <v>15800</v>
      </c>
      <c r="I111" s="158">
        <v>1580000</v>
      </c>
      <c r="J111" s="158">
        <v>10850</v>
      </c>
      <c r="K111" s="158">
        <v>1085000</v>
      </c>
      <c r="L111" s="158">
        <v>495000</v>
      </c>
      <c r="M111" s="159">
        <v>0.313291139240506</v>
      </c>
      <c r="N111" s="157" t="s">
        <v>321</v>
      </c>
    </row>
    <row r="112" spans="1:14">
      <c r="A112" s="156">
        <v>111</v>
      </c>
      <c r="B112" s="157" t="s">
        <v>440</v>
      </c>
      <c r="C112" s="156">
        <v>14</v>
      </c>
      <c r="D112" s="157" t="s">
        <v>32</v>
      </c>
      <c r="E112" s="156">
        <v>47</v>
      </c>
      <c r="F112" s="157" t="s">
        <v>4</v>
      </c>
      <c r="G112" s="158">
        <v>60</v>
      </c>
      <c r="H112" s="158">
        <v>15800</v>
      </c>
      <c r="I112" s="158">
        <v>948000</v>
      </c>
      <c r="J112" s="158">
        <v>10850</v>
      </c>
      <c r="K112" s="158">
        <v>651000</v>
      </c>
      <c r="L112" s="158">
        <v>297000</v>
      </c>
      <c r="M112" s="159">
        <v>0.313291139240506</v>
      </c>
      <c r="N112" s="157" t="s">
        <v>321</v>
      </c>
    </row>
    <row r="113" spans="1:14">
      <c r="A113" s="156">
        <v>112</v>
      </c>
      <c r="B113" s="157" t="s">
        <v>441</v>
      </c>
      <c r="C113" s="156">
        <v>14</v>
      </c>
      <c r="D113" s="157" t="s">
        <v>32</v>
      </c>
      <c r="E113" s="156">
        <v>48</v>
      </c>
      <c r="F113" s="157" t="s">
        <v>5</v>
      </c>
      <c r="G113" s="158">
        <v>80</v>
      </c>
      <c r="H113" s="158">
        <v>15800</v>
      </c>
      <c r="I113" s="158">
        <v>1264000</v>
      </c>
      <c r="J113" s="158">
        <v>10850</v>
      </c>
      <c r="K113" s="158">
        <v>868000</v>
      </c>
      <c r="L113" s="158">
        <v>396000</v>
      </c>
      <c r="M113" s="159">
        <v>0.313291139240506</v>
      </c>
      <c r="N113" s="157" t="s">
        <v>321</v>
      </c>
    </row>
    <row r="114" spans="1:14">
      <c r="A114" s="156">
        <v>113</v>
      </c>
      <c r="B114" s="157" t="s">
        <v>441</v>
      </c>
      <c r="C114" s="156">
        <v>14</v>
      </c>
      <c r="D114" s="157" t="s">
        <v>32</v>
      </c>
      <c r="E114" s="156">
        <v>47</v>
      </c>
      <c r="F114" s="157" t="s">
        <v>4</v>
      </c>
      <c r="G114" s="158">
        <v>120</v>
      </c>
      <c r="H114" s="158">
        <v>15800</v>
      </c>
      <c r="I114" s="158">
        <v>1896000</v>
      </c>
      <c r="J114" s="158">
        <v>10850</v>
      </c>
      <c r="K114" s="158">
        <v>1302000</v>
      </c>
      <c r="L114" s="158">
        <v>594000</v>
      </c>
      <c r="M114" s="159">
        <v>0.313291139240506</v>
      </c>
      <c r="N114" s="157" t="s">
        <v>321</v>
      </c>
    </row>
    <row r="115" spans="1:14">
      <c r="A115" s="156">
        <v>114</v>
      </c>
      <c r="B115" s="157" t="s">
        <v>440</v>
      </c>
      <c r="C115" s="156">
        <v>6</v>
      </c>
      <c r="D115" s="157" t="s">
        <v>33</v>
      </c>
      <c r="E115" s="156">
        <v>48</v>
      </c>
      <c r="F115" s="157" t="s">
        <v>5</v>
      </c>
      <c r="G115" s="158">
        <v>180</v>
      </c>
      <c r="H115" s="158">
        <v>15500</v>
      </c>
      <c r="I115" s="158">
        <v>2790000</v>
      </c>
      <c r="J115" s="158">
        <v>11900</v>
      </c>
      <c r="K115" s="158">
        <v>2142000</v>
      </c>
      <c r="L115" s="158">
        <v>648000</v>
      </c>
      <c r="M115" s="159">
        <v>0.23225806451612899</v>
      </c>
      <c r="N115" s="157" t="s">
        <v>321</v>
      </c>
    </row>
    <row r="116" spans="1:14">
      <c r="A116" s="156">
        <v>115</v>
      </c>
      <c r="B116" s="157" t="s">
        <v>441</v>
      </c>
      <c r="C116" s="156">
        <v>6</v>
      </c>
      <c r="D116" s="157" t="s">
        <v>33</v>
      </c>
      <c r="E116" s="156">
        <v>48</v>
      </c>
      <c r="F116" s="157" t="s">
        <v>5</v>
      </c>
      <c r="G116" s="158">
        <v>180</v>
      </c>
      <c r="H116" s="158">
        <v>15500</v>
      </c>
      <c r="I116" s="158">
        <v>2790000</v>
      </c>
      <c r="J116" s="158">
        <v>11900</v>
      </c>
      <c r="K116" s="158">
        <v>2142000</v>
      </c>
      <c r="L116" s="158">
        <v>648000</v>
      </c>
      <c r="M116" s="159">
        <v>0.23225806451612899</v>
      </c>
      <c r="N116" s="157" t="s">
        <v>321</v>
      </c>
    </row>
    <row r="117" spans="1:14">
      <c r="A117" s="156">
        <v>116</v>
      </c>
      <c r="B117" s="157" t="s">
        <v>440</v>
      </c>
      <c r="C117" s="156">
        <v>18</v>
      </c>
      <c r="D117" s="157" t="s">
        <v>37</v>
      </c>
      <c r="E117" s="156">
        <v>36</v>
      </c>
      <c r="F117" s="157" t="s">
        <v>34</v>
      </c>
      <c r="G117" s="158">
        <v>60</v>
      </c>
      <c r="H117" s="158">
        <v>14400</v>
      </c>
      <c r="I117" s="158">
        <v>864000</v>
      </c>
      <c r="J117" s="158">
        <v>11000</v>
      </c>
      <c r="K117" s="158">
        <v>660000</v>
      </c>
      <c r="L117" s="158">
        <v>204000</v>
      </c>
      <c r="M117" s="159">
        <v>0.23611111111111099</v>
      </c>
      <c r="N117" s="157" t="s">
        <v>321</v>
      </c>
    </row>
    <row r="118" spans="1:14">
      <c r="A118" s="156">
        <v>117</v>
      </c>
      <c r="B118" s="157" t="s">
        <v>440</v>
      </c>
      <c r="C118" s="156">
        <v>18</v>
      </c>
      <c r="D118" s="157" t="s">
        <v>37</v>
      </c>
      <c r="E118" s="156">
        <v>32</v>
      </c>
      <c r="F118" s="157" t="s">
        <v>35</v>
      </c>
      <c r="G118" s="158">
        <v>21</v>
      </c>
      <c r="H118" s="158">
        <v>16000</v>
      </c>
      <c r="I118" s="158">
        <v>336000</v>
      </c>
      <c r="J118" s="158">
        <v>10500</v>
      </c>
      <c r="K118" s="158">
        <v>220500</v>
      </c>
      <c r="L118" s="158">
        <v>115500</v>
      </c>
      <c r="M118" s="159">
        <v>0.34375</v>
      </c>
      <c r="N118" s="157" t="s">
        <v>321</v>
      </c>
    </row>
    <row r="119" spans="1:14">
      <c r="A119" s="156">
        <v>118</v>
      </c>
      <c r="B119" s="157" t="s">
        <v>440</v>
      </c>
      <c r="C119" s="156">
        <v>18</v>
      </c>
      <c r="D119" s="157" t="s">
        <v>37</v>
      </c>
      <c r="E119" s="156">
        <v>3</v>
      </c>
      <c r="F119" s="157" t="s">
        <v>36</v>
      </c>
      <c r="G119" s="158">
        <v>24</v>
      </c>
      <c r="H119" s="158">
        <v>55000</v>
      </c>
      <c r="I119" s="158">
        <v>1320000</v>
      </c>
      <c r="J119" s="158">
        <v>50000</v>
      </c>
      <c r="K119" s="158">
        <v>1200000</v>
      </c>
      <c r="L119" s="158">
        <v>120000</v>
      </c>
      <c r="M119" s="159">
        <v>9.0909090909090898E-2</v>
      </c>
      <c r="N119" s="157" t="s">
        <v>321</v>
      </c>
    </row>
    <row r="120" spans="1:14">
      <c r="A120" s="156">
        <v>119</v>
      </c>
      <c r="B120" s="157" t="s">
        <v>441</v>
      </c>
      <c r="C120" s="156">
        <v>18</v>
      </c>
      <c r="D120" s="157" t="s">
        <v>37</v>
      </c>
      <c r="E120" s="156">
        <v>36</v>
      </c>
      <c r="F120" s="157" t="s">
        <v>34</v>
      </c>
      <c r="G120" s="158">
        <v>44</v>
      </c>
      <c r="H120" s="158">
        <v>14400</v>
      </c>
      <c r="I120" s="158">
        <v>633600</v>
      </c>
      <c r="J120" s="158">
        <v>11000</v>
      </c>
      <c r="K120" s="158">
        <v>484000</v>
      </c>
      <c r="L120" s="158">
        <v>149600</v>
      </c>
      <c r="M120" s="159">
        <v>0.23611111111111099</v>
      </c>
      <c r="N120" s="157" t="s">
        <v>321</v>
      </c>
    </row>
    <row r="121" spans="1:14">
      <c r="A121" s="156">
        <v>120</v>
      </c>
      <c r="B121" s="157" t="s">
        <v>441</v>
      </c>
      <c r="C121" s="156">
        <v>18</v>
      </c>
      <c r="D121" s="157" t="s">
        <v>37</v>
      </c>
      <c r="E121" s="156">
        <v>32</v>
      </c>
      <c r="F121" s="157" t="s">
        <v>35</v>
      </c>
      <c r="G121" s="158">
        <v>64</v>
      </c>
      <c r="H121" s="158">
        <v>16000</v>
      </c>
      <c r="I121" s="158">
        <v>1024000</v>
      </c>
      <c r="J121" s="158">
        <v>10500</v>
      </c>
      <c r="K121" s="158">
        <v>672000</v>
      </c>
      <c r="L121" s="158">
        <v>352000</v>
      </c>
      <c r="M121" s="159">
        <v>0.34375</v>
      </c>
      <c r="N121" s="157" t="s">
        <v>321</v>
      </c>
    </row>
    <row r="122" spans="1:14">
      <c r="A122" s="156">
        <v>121</v>
      </c>
      <c r="B122" s="157" t="s">
        <v>440</v>
      </c>
      <c r="C122" s="156">
        <v>11</v>
      </c>
      <c r="D122" s="157" t="s">
        <v>38</v>
      </c>
      <c r="E122" s="156">
        <v>134</v>
      </c>
      <c r="F122" s="157" t="s">
        <v>419</v>
      </c>
      <c r="G122" s="158">
        <v>1000</v>
      </c>
      <c r="H122" s="158">
        <v>11023</v>
      </c>
      <c r="I122" s="158">
        <v>11022727</v>
      </c>
      <c r="J122" s="158">
        <v>8928</v>
      </c>
      <c r="K122" s="158">
        <v>8928000</v>
      </c>
      <c r="L122" s="158">
        <v>2094727</v>
      </c>
      <c r="M122" s="159">
        <v>0.19003709336174299</v>
      </c>
      <c r="N122" s="157" t="s">
        <v>321</v>
      </c>
    </row>
    <row r="123" spans="1:14">
      <c r="A123" s="156">
        <v>122</v>
      </c>
      <c r="B123" s="157" t="s">
        <v>440</v>
      </c>
      <c r="C123" s="156">
        <v>11</v>
      </c>
      <c r="D123" s="157" t="s">
        <v>38</v>
      </c>
      <c r="E123" s="156">
        <v>105</v>
      </c>
      <c r="F123" s="157" t="s">
        <v>390</v>
      </c>
      <c r="G123" s="158">
        <v>30</v>
      </c>
      <c r="H123" s="158">
        <v>40696</v>
      </c>
      <c r="I123" s="158">
        <v>1220891</v>
      </c>
      <c r="J123" s="158">
        <v>20755</v>
      </c>
      <c r="K123" s="158">
        <v>622650</v>
      </c>
      <c r="L123" s="158">
        <v>598241</v>
      </c>
      <c r="M123" s="159">
        <v>0.49000361211606902</v>
      </c>
      <c r="N123" s="157" t="s">
        <v>321</v>
      </c>
    </row>
    <row r="124" spans="1:14">
      <c r="A124" s="156">
        <v>123</v>
      </c>
      <c r="B124" s="157" t="s">
        <v>440</v>
      </c>
      <c r="C124" s="156">
        <v>11</v>
      </c>
      <c r="D124" s="157" t="s">
        <v>38</v>
      </c>
      <c r="E124" s="156">
        <v>101</v>
      </c>
      <c r="F124" s="157" t="s">
        <v>386</v>
      </c>
      <c r="G124" s="158">
        <v>68</v>
      </c>
      <c r="H124" s="158">
        <v>65329</v>
      </c>
      <c r="I124" s="158">
        <v>4442378</v>
      </c>
      <c r="J124" s="158">
        <v>33318</v>
      </c>
      <c r="K124" s="158">
        <v>2265624</v>
      </c>
      <c r="L124" s="158">
        <v>2176754</v>
      </c>
      <c r="M124" s="159">
        <v>0.48999747432568802</v>
      </c>
      <c r="N124" s="157" t="s">
        <v>321</v>
      </c>
    </row>
    <row r="125" spans="1:14">
      <c r="A125" s="156">
        <v>124</v>
      </c>
      <c r="B125" s="157" t="s">
        <v>440</v>
      </c>
      <c r="C125" s="156">
        <v>11</v>
      </c>
      <c r="D125" s="157" t="s">
        <v>38</v>
      </c>
      <c r="E125" s="156">
        <v>102</v>
      </c>
      <c r="F125" s="157" t="s">
        <v>387</v>
      </c>
      <c r="G125" s="158">
        <v>60</v>
      </c>
      <c r="H125" s="158">
        <v>71007</v>
      </c>
      <c r="I125" s="158">
        <v>4260436</v>
      </c>
      <c r="J125" s="158">
        <v>36213</v>
      </c>
      <c r="K125" s="158">
        <v>2172780</v>
      </c>
      <c r="L125" s="158">
        <v>2087656</v>
      </c>
      <c r="M125" s="159">
        <v>0.49000994264436798</v>
      </c>
      <c r="N125" s="157" t="s">
        <v>321</v>
      </c>
    </row>
    <row r="126" spans="1:14">
      <c r="A126" s="156">
        <v>125</v>
      </c>
      <c r="B126" s="157" t="s">
        <v>440</v>
      </c>
      <c r="C126" s="156">
        <v>11</v>
      </c>
      <c r="D126" s="157" t="s">
        <v>38</v>
      </c>
      <c r="E126" s="156">
        <v>103</v>
      </c>
      <c r="F126" s="157" t="s">
        <v>388</v>
      </c>
      <c r="G126" s="158">
        <v>10</v>
      </c>
      <c r="H126" s="158">
        <v>83220</v>
      </c>
      <c r="I126" s="158">
        <v>832200</v>
      </c>
      <c r="J126" s="158">
        <v>42441</v>
      </c>
      <c r="K126" s="158">
        <v>424410</v>
      </c>
      <c r="L126" s="158">
        <v>407790</v>
      </c>
      <c r="M126" s="159">
        <v>0.49001441961066999</v>
      </c>
      <c r="N126" s="157" t="s">
        <v>321</v>
      </c>
    </row>
    <row r="127" spans="1:14">
      <c r="A127" s="156">
        <v>126</v>
      </c>
      <c r="B127" s="157" t="s">
        <v>440</v>
      </c>
      <c r="C127" s="156">
        <v>11</v>
      </c>
      <c r="D127" s="157" t="s">
        <v>38</v>
      </c>
      <c r="E127" s="156">
        <v>99</v>
      </c>
      <c r="F127" s="157" t="s">
        <v>384</v>
      </c>
      <c r="G127" s="158">
        <v>35</v>
      </c>
      <c r="H127" s="158">
        <v>108115</v>
      </c>
      <c r="I127" s="158">
        <v>3784009</v>
      </c>
      <c r="J127" s="158">
        <v>54060</v>
      </c>
      <c r="K127" s="158">
        <v>1892100</v>
      </c>
      <c r="L127" s="158">
        <v>1891909</v>
      </c>
      <c r="M127" s="159">
        <v>0.49997476221647502</v>
      </c>
      <c r="N127" s="157" t="s">
        <v>321</v>
      </c>
    </row>
    <row r="128" spans="1:14">
      <c r="A128" s="156">
        <v>127</v>
      </c>
      <c r="B128" s="157" t="s">
        <v>440</v>
      </c>
      <c r="C128" s="156">
        <v>11</v>
      </c>
      <c r="D128" s="157" t="s">
        <v>38</v>
      </c>
      <c r="E128" s="156">
        <v>33</v>
      </c>
      <c r="F128" s="157" t="s">
        <v>14</v>
      </c>
      <c r="G128" s="158">
        <v>84</v>
      </c>
      <c r="H128" s="158">
        <v>12000</v>
      </c>
      <c r="I128" s="158">
        <v>1008000</v>
      </c>
      <c r="J128" s="158">
        <v>11000</v>
      </c>
      <c r="K128" s="158">
        <v>924000</v>
      </c>
      <c r="L128" s="158">
        <v>84000</v>
      </c>
      <c r="M128" s="159">
        <v>8.3333333333333301E-2</v>
      </c>
      <c r="N128" s="157" t="s">
        <v>321</v>
      </c>
    </row>
    <row r="129" spans="1:14">
      <c r="A129" s="156">
        <v>128</v>
      </c>
      <c r="B129" s="157" t="s">
        <v>441</v>
      </c>
      <c r="C129" s="156">
        <v>11</v>
      </c>
      <c r="D129" s="157" t="s">
        <v>38</v>
      </c>
      <c r="E129" s="156">
        <v>134</v>
      </c>
      <c r="F129" s="157" t="s">
        <v>419</v>
      </c>
      <c r="G129" s="158">
        <v>600</v>
      </c>
      <c r="H129" s="158">
        <v>11023</v>
      </c>
      <c r="I129" s="158">
        <v>6613636</v>
      </c>
      <c r="J129" s="158">
        <v>8928</v>
      </c>
      <c r="K129" s="158">
        <v>5356800</v>
      </c>
      <c r="L129" s="158">
        <v>1256836</v>
      </c>
      <c r="M129" s="159">
        <v>0.19003706886801799</v>
      </c>
      <c r="N129" s="157" t="s">
        <v>321</v>
      </c>
    </row>
    <row r="130" spans="1:14">
      <c r="A130" s="156">
        <v>129</v>
      </c>
      <c r="B130" s="157" t="s">
        <v>441</v>
      </c>
      <c r="C130" s="156">
        <v>11</v>
      </c>
      <c r="D130" s="157" t="s">
        <v>38</v>
      </c>
      <c r="E130" s="156">
        <v>105</v>
      </c>
      <c r="F130" s="157" t="s">
        <v>390</v>
      </c>
      <c r="G130" s="158">
        <v>28</v>
      </c>
      <c r="H130" s="158">
        <v>40696</v>
      </c>
      <c r="I130" s="158">
        <v>1139498</v>
      </c>
      <c r="J130" s="158">
        <v>20755</v>
      </c>
      <c r="K130" s="158">
        <v>581140</v>
      </c>
      <c r="L130" s="158">
        <v>558358</v>
      </c>
      <c r="M130" s="159">
        <v>0.49000349276611299</v>
      </c>
      <c r="N130" s="157" t="s">
        <v>321</v>
      </c>
    </row>
    <row r="131" spans="1:14">
      <c r="A131" s="156">
        <v>130</v>
      </c>
      <c r="B131" s="157" t="s">
        <v>441</v>
      </c>
      <c r="C131" s="156">
        <v>11</v>
      </c>
      <c r="D131" s="157" t="s">
        <v>38</v>
      </c>
      <c r="E131" s="156">
        <v>101</v>
      </c>
      <c r="F131" s="157" t="s">
        <v>386</v>
      </c>
      <c r="G131" s="158">
        <v>30</v>
      </c>
      <c r="H131" s="158">
        <v>65329</v>
      </c>
      <c r="I131" s="158">
        <v>1959873</v>
      </c>
      <c r="J131" s="158">
        <v>33318</v>
      </c>
      <c r="K131" s="158">
        <v>999540</v>
      </c>
      <c r="L131" s="158">
        <v>960333</v>
      </c>
      <c r="M131" s="159">
        <v>0.489997566168828</v>
      </c>
      <c r="N131" s="157" t="s">
        <v>321</v>
      </c>
    </row>
    <row r="132" spans="1:14">
      <c r="A132" s="156">
        <v>131</v>
      </c>
      <c r="B132" s="157" t="s">
        <v>441</v>
      </c>
      <c r="C132" s="156">
        <v>11</v>
      </c>
      <c r="D132" s="157" t="s">
        <v>38</v>
      </c>
      <c r="E132" s="156">
        <v>102</v>
      </c>
      <c r="F132" s="157" t="s">
        <v>387</v>
      </c>
      <c r="G132" s="158">
        <v>20</v>
      </c>
      <c r="H132" s="158">
        <v>71007</v>
      </c>
      <c r="I132" s="158">
        <v>1420145</v>
      </c>
      <c r="J132" s="158">
        <v>36213</v>
      </c>
      <c r="K132" s="158">
        <v>724260</v>
      </c>
      <c r="L132" s="158">
        <v>695885</v>
      </c>
      <c r="M132" s="159">
        <v>0.49000982294061501</v>
      </c>
      <c r="N132" s="157" t="s">
        <v>321</v>
      </c>
    </row>
    <row r="133" spans="1:14">
      <c r="A133" s="156">
        <v>132</v>
      </c>
      <c r="B133" s="157" t="s">
        <v>441</v>
      </c>
      <c r="C133" s="156">
        <v>11</v>
      </c>
      <c r="D133" s="157" t="s">
        <v>38</v>
      </c>
      <c r="E133" s="156">
        <v>103</v>
      </c>
      <c r="F133" s="157" t="s">
        <v>388</v>
      </c>
      <c r="G133" s="158">
        <v>20</v>
      </c>
      <c r="H133" s="158">
        <v>83220</v>
      </c>
      <c r="I133" s="158">
        <v>1664400</v>
      </c>
      <c r="J133" s="158">
        <v>42441</v>
      </c>
      <c r="K133" s="158">
        <v>848820</v>
      </c>
      <c r="L133" s="158">
        <v>815580</v>
      </c>
      <c r="M133" s="159">
        <v>0.49001441961066999</v>
      </c>
      <c r="N133" s="157" t="s">
        <v>321</v>
      </c>
    </row>
    <row r="134" spans="1:14">
      <c r="A134" s="156">
        <v>133</v>
      </c>
      <c r="B134" s="157" t="s">
        <v>441</v>
      </c>
      <c r="C134" s="156">
        <v>11</v>
      </c>
      <c r="D134" s="157" t="s">
        <v>38</v>
      </c>
      <c r="E134" s="156">
        <v>99</v>
      </c>
      <c r="F134" s="157" t="s">
        <v>384</v>
      </c>
      <c r="G134" s="158">
        <v>20</v>
      </c>
      <c r="H134" s="158">
        <v>108115</v>
      </c>
      <c r="I134" s="158">
        <v>2162291</v>
      </c>
      <c r="J134" s="158">
        <v>54060</v>
      </c>
      <c r="K134" s="158">
        <v>1081200</v>
      </c>
      <c r="L134" s="158">
        <v>1081091</v>
      </c>
      <c r="M134" s="159">
        <v>0.49997479525188798</v>
      </c>
      <c r="N134" s="157" t="s">
        <v>321</v>
      </c>
    </row>
    <row r="135" spans="1:14">
      <c r="A135" s="156">
        <v>134</v>
      </c>
      <c r="B135" s="157" t="s">
        <v>441</v>
      </c>
      <c r="C135" s="156">
        <v>11</v>
      </c>
      <c r="D135" s="157" t="s">
        <v>38</v>
      </c>
      <c r="E135" s="156">
        <v>33</v>
      </c>
      <c r="F135" s="157" t="s">
        <v>14</v>
      </c>
      <c r="G135" s="158">
        <v>120</v>
      </c>
      <c r="H135" s="158">
        <v>12000</v>
      </c>
      <c r="I135" s="158">
        <v>1440000</v>
      </c>
      <c r="J135" s="158">
        <v>11000</v>
      </c>
      <c r="K135" s="158">
        <v>1320000</v>
      </c>
      <c r="L135" s="158">
        <v>120000</v>
      </c>
      <c r="M135" s="159">
        <v>8.3333333333333301E-2</v>
      </c>
      <c r="N135" s="157" t="s">
        <v>321</v>
      </c>
    </row>
    <row r="136" spans="1:14">
      <c r="A136" s="156">
        <v>135</v>
      </c>
      <c r="B136" s="157" t="s">
        <v>440</v>
      </c>
      <c r="C136" s="156">
        <v>8</v>
      </c>
      <c r="D136" s="157" t="s">
        <v>39</v>
      </c>
      <c r="E136" s="156">
        <v>62</v>
      </c>
      <c r="F136" s="157" t="s">
        <v>347</v>
      </c>
      <c r="G136" s="158">
        <v>10</v>
      </c>
      <c r="H136" s="158">
        <v>42353</v>
      </c>
      <c r="I136" s="158">
        <v>423527</v>
      </c>
      <c r="J136" s="158">
        <v>36380</v>
      </c>
      <c r="K136" s="158">
        <v>363800</v>
      </c>
      <c r="L136" s="158">
        <v>59727</v>
      </c>
      <c r="M136" s="159">
        <v>0.14102288638032501</v>
      </c>
      <c r="N136" s="157" t="s">
        <v>321</v>
      </c>
    </row>
    <row r="137" spans="1:14">
      <c r="A137" s="156">
        <v>136</v>
      </c>
      <c r="B137" s="157" t="s">
        <v>441</v>
      </c>
      <c r="C137" s="156">
        <v>8</v>
      </c>
      <c r="D137" s="157" t="s">
        <v>39</v>
      </c>
      <c r="E137" s="156">
        <v>62</v>
      </c>
      <c r="F137" s="157" t="s">
        <v>347</v>
      </c>
      <c r="G137" s="158">
        <v>10</v>
      </c>
      <c r="H137" s="158">
        <v>42353</v>
      </c>
      <c r="I137" s="158">
        <v>423527</v>
      </c>
      <c r="J137" s="158">
        <v>36380</v>
      </c>
      <c r="K137" s="158">
        <v>363800</v>
      </c>
      <c r="L137" s="158">
        <v>59727</v>
      </c>
      <c r="M137" s="159">
        <v>0.14102288638032501</v>
      </c>
      <c r="N137" s="157" t="s">
        <v>321</v>
      </c>
    </row>
    <row r="138" spans="1:14">
      <c r="A138" s="156">
        <v>137</v>
      </c>
      <c r="B138" s="157" t="s">
        <v>440</v>
      </c>
      <c r="C138" s="156">
        <v>19</v>
      </c>
      <c r="D138" s="157" t="s">
        <v>43</v>
      </c>
      <c r="E138" s="156">
        <v>132</v>
      </c>
      <c r="F138" s="157" t="s">
        <v>417</v>
      </c>
      <c r="G138" s="158">
        <v>360</v>
      </c>
      <c r="H138" s="158">
        <v>7570</v>
      </c>
      <c r="I138" s="158">
        <v>2725200</v>
      </c>
      <c r="J138" s="158">
        <v>6132</v>
      </c>
      <c r="K138" s="158">
        <v>2207520</v>
      </c>
      <c r="L138" s="158">
        <v>517680</v>
      </c>
      <c r="M138" s="159">
        <v>0.18996036988111001</v>
      </c>
      <c r="N138" s="157" t="s">
        <v>321</v>
      </c>
    </row>
    <row r="139" spans="1:14">
      <c r="A139" s="156">
        <v>138</v>
      </c>
      <c r="B139" s="157" t="s">
        <v>440</v>
      </c>
      <c r="C139" s="156">
        <v>19</v>
      </c>
      <c r="D139" s="157" t="s">
        <v>43</v>
      </c>
      <c r="E139" s="156">
        <v>135</v>
      </c>
      <c r="F139" s="157" t="s">
        <v>420</v>
      </c>
      <c r="G139" s="158">
        <v>340</v>
      </c>
      <c r="H139" s="158">
        <v>8194</v>
      </c>
      <c r="I139" s="158">
        <v>2785836</v>
      </c>
      <c r="J139" s="158">
        <v>6637</v>
      </c>
      <c r="K139" s="158">
        <v>2256580</v>
      </c>
      <c r="L139" s="158">
        <v>529256</v>
      </c>
      <c r="M139" s="159">
        <v>0.1899810326236</v>
      </c>
      <c r="N139" s="157" t="s">
        <v>321</v>
      </c>
    </row>
    <row r="140" spans="1:14">
      <c r="A140" s="156">
        <v>139</v>
      </c>
      <c r="B140" s="157" t="s">
        <v>440</v>
      </c>
      <c r="C140" s="156">
        <v>19</v>
      </c>
      <c r="D140" s="157" t="s">
        <v>43</v>
      </c>
      <c r="E140" s="156">
        <v>136</v>
      </c>
      <c r="F140" s="157" t="s">
        <v>421</v>
      </c>
      <c r="G140" s="158">
        <v>12</v>
      </c>
      <c r="H140" s="158">
        <v>8439</v>
      </c>
      <c r="I140" s="158">
        <v>101269</v>
      </c>
      <c r="J140" s="158">
        <v>6835</v>
      </c>
      <c r="K140" s="158">
        <v>82020</v>
      </c>
      <c r="L140" s="158">
        <v>19249</v>
      </c>
      <c r="M140" s="159">
        <v>0.190077911305533</v>
      </c>
      <c r="N140" s="157" t="s">
        <v>321</v>
      </c>
    </row>
    <row r="141" spans="1:14">
      <c r="A141" s="156">
        <v>140</v>
      </c>
      <c r="B141" s="157" t="s">
        <v>440</v>
      </c>
      <c r="C141" s="156">
        <v>19</v>
      </c>
      <c r="D141" s="157" t="s">
        <v>43</v>
      </c>
      <c r="E141" s="156">
        <v>16</v>
      </c>
      <c r="F141" s="157" t="s">
        <v>40</v>
      </c>
      <c r="G141" s="158">
        <v>192</v>
      </c>
      <c r="H141" s="158">
        <v>6000</v>
      </c>
      <c r="I141" s="158">
        <v>1152000</v>
      </c>
      <c r="J141" s="158">
        <v>4800</v>
      </c>
      <c r="K141" s="158">
        <v>921600</v>
      </c>
      <c r="L141" s="158">
        <v>230400</v>
      </c>
      <c r="M141" s="159">
        <v>0.2</v>
      </c>
      <c r="N141" s="157" t="s">
        <v>321</v>
      </c>
    </row>
    <row r="142" spans="1:14">
      <c r="A142" s="156">
        <v>141</v>
      </c>
      <c r="B142" s="157" t="s">
        <v>440</v>
      </c>
      <c r="C142" s="156">
        <v>19</v>
      </c>
      <c r="D142" s="157" t="s">
        <v>43</v>
      </c>
      <c r="E142" s="156">
        <v>34</v>
      </c>
      <c r="F142" s="157" t="s">
        <v>41</v>
      </c>
      <c r="G142" s="158">
        <v>192</v>
      </c>
      <c r="H142" s="158">
        <v>15500</v>
      </c>
      <c r="I142" s="158">
        <v>2976000</v>
      </c>
      <c r="J142" s="158">
        <v>15000</v>
      </c>
      <c r="K142" s="158">
        <v>2880000</v>
      </c>
      <c r="L142" s="158">
        <v>96000</v>
      </c>
      <c r="M142" s="159">
        <v>3.2258064516128997E-2</v>
      </c>
      <c r="N142" s="157" t="s">
        <v>321</v>
      </c>
    </row>
    <row r="143" spans="1:14">
      <c r="A143" s="156">
        <v>142</v>
      </c>
      <c r="B143" s="157" t="s">
        <v>440</v>
      </c>
      <c r="C143" s="156">
        <v>19</v>
      </c>
      <c r="D143" s="157" t="s">
        <v>43</v>
      </c>
      <c r="E143" s="156">
        <v>35</v>
      </c>
      <c r="F143" s="157" t="s">
        <v>42</v>
      </c>
      <c r="G143" s="158">
        <v>48</v>
      </c>
      <c r="H143" s="158">
        <v>16500</v>
      </c>
      <c r="I143" s="158">
        <v>792000</v>
      </c>
      <c r="J143" s="158">
        <v>16000</v>
      </c>
      <c r="K143" s="158">
        <v>768000</v>
      </c>
      <c r="L143" s="158">
        <v>24000</v>
      </c>
      <c r="M143" s="159">
        <v>3.03030303030303E-2</v>
      </c>
      <c r="N143" s="157" t="s">
        <v>321</v>
      </c>
    </row>
    <row r="144" spans="1:14">
      <c r="A144" s="156">
        <v>143</v>
      </c>
      <c r="B144" s="157" t="s">
        <v>440</v>
      </c>
      <c r="C144" s="156">
        <v>19</v>
      </c>
      <c r="D144" s="157" t="s">
        <v>43</v>
      </c>
      <c r="E144" s="156">
        <v>11</v>
      </c>
      <c r="F144" s="157" t="s">
        <v>12</v>
      </c>
      <c r="G144" s="158">
        <v>600</v>
      </c>
      <c r="H144" s="158">
        <v>600</v>
      </c>
      <c r="I144" s="158">
        <v>360000</v>
      </c>
      <c r="J144" s="158">
        <v>500</v>
      </c>
      <c r="K144" s="158">
        <v>300000</v>
      </c>
      <c r="L144" s="158">
        <v>60000</v>
      </c>
      <c r="M144" s="159">
        <v>0.16666666666666699</v>
      </c>
      <c r="N144" s="157" t="s">
        <v>321</v>
      </c>
    </row>
    <row r="145" spans="1:14">
      <c r="A145" s="156">
        <v>144</v>
      </c>
      <c r="B145" s="157" t="s">
        <v>440</v>
      </c>
      <c r="C145" s="156">
        <v>19</v>
      </c>
      <c r="D145" s="157" t="s">
        <v>43</v>
      </c>
      <c r="E145" s="156">
        <v>121</v>
      </c>
      <c r="F145" s="157" t="s">
        <v>406</v>
      </c>
      <c r="G145" s="158">
        <v>6</v>
      </c>
      <c r="H145" s="158">
        <v>35000</v>
      </c>
      <c r="I145" s="158">
        <v>210000</v>
      </c>
      <c r="J145" s="158">
        <v>30000</v>
      </c>
      <c r="K145" s="158">
        <v>180000</v>
      </c>
      <c r="L145" s="158">
        <v>30000</v>
      </c>
      <c r="M145" s="159">
        <v>0.14285714285714299</v>
      </c>
      <c r="N145" s="157" t="s">
        <v>321</v>
      </c>
    </row>
    <row r="146" spans="1:14">
      <c r="A146" s="156">
        <v>145</v>
      </c>
      <c r="B146" s="157" t="s">
        <v>440</v>
      </c>
      <c r="C146" s="156">
        <v>19</v>
      </c>
      <c r="D146" s="157" t="s">
        <v>43</v>
      </c>
      <c r="E146" s="156">
        <v>104</v>
      </c>
      <c r="F146" s="157" t="s">
        <v>389</v>
      </c>
      <c r="G146" s="158">
        <v>35</v>
      </c>
      <c r="H146" s="158">
        <v>102087</v>
      </c>
      <c r="I146" s="158">
        <v>3573055</v>
      </c>
      <c r="J146" s="158">
        <v>52064</v>
      </c>
      <c r="K146" s="158">
        <v>1822240</v>
      </c>
      <c r="L146" s="158">
        <v>1750815</v>
      </c>
      <c r="M146" s="159">
        <v>0.49000505169945602</v>
      </c>
      <c r="N146" s="157" t="s">
        <v>321</v>
      </c>
    </row>
    <row r="147" spans="1:14">
      <c r="A147" s="156">
        <v>146</v>
      </c>
      <c r="B147" s="157" t="s">
        <v>440</v>
      </c>
      <c r="C147" s="156">
        <v>19</v>
      </c>
      <c r="D147" s="157" t="s">
        <v>43</v>
      </c>
      <c r="E147" s="156">
        <v>101</v>
      </c>
      <c r="F147" s="157" t="s">
        <v>386</v>
      </c>
      <c r="G147" s="158">
        <v>25</v>
      </c>
      <c r="H147" s="158">
        <v>65329</v>
      </c>
      <c r="I147" s="158">
        <v>1633227</v>
      </c>
      <c r="J147" s="158">
        <v>33318</v>
      </c>
      <c r="K147" s="158">
        <v>832950</v>
      </c>
      <c r="L147" s="158">
        <v>800277</v>
      </c>
      <c r="M147" s="159">
        <v>0.48999741003546998</v>
      </c>
      <c r="N147" s="157" t="s">
        <v>321</v>
      </c>
    </row>
    <row r="148" spans="1:14">
      <c r="A148" s="156">
        <v>147</v>
      </c>
      <c r="B148" s="157" t="s">
        <v>441</v>
      </c>
      <c r="C148" s="156">
        <v>19</v>
      </c>
      <c r="D148" s="157" t="s">
        <v>43</v>
      </c>
      <c r="E148" s="156">
        <v>132</v>
      </c>
      <c r="F148" s="157" t="s">
        <v>417</v>
      </c>
      <c r="G148" s="158">
        <v>330</v>
      </c>
      <c r="H148" s="158">
        <v>7570</v>
      </c>
      <c r="I148" s="158">
        <v>2498100</v>
      </c>
      <c r="J148" s="158">
        <v>6132</v>
      </c>
      <c r="K148" s="158">
        <v>2023560</v>
      </c>
      <c r="L148" s="158">
        <v>474540</v>
      </c>
      <c r="M148" s="159">
        <v>0.18996036988111001</v>
      </c>
      <c r="N148" s="157" t="s">
        <v>321</v>
      </c>
    </row>
    <row r="149" spans="1:14">
      <c r="A149" s="156">
        <v>148</v>
      </c>
      <c r="B149" s="157" t="s">
        <v>441</v>
      </c>
      <c r="C149" s="156">
        <v>19</v>
      </c>
      <c r="D149" s="157" t="s">
        <v>43</v>
      </c>
      <c r="E149" s="156">
        <v>135</v>
      </c>
      <c r="F149" s="157" t="s">
        <v>420</v>
      </c>
      <c r="G149" s="158">
        <v>310</v>
      </c>
      <c r="H149" s="158">
        <v>8194</v>
      </c>
      <c r="I149" s="158">
        <v>2540027</v>
      </c>
      <c r="J149" s="158">
        <v>6637</v>
      </c>
      <c r="K149" s="158">
        <v>2057470</v>
      </c>
      <c r="L149" s="158">
        <v>482557</v>
      </c>
      <c r="M149" s="159">
        <v>0.189981051382525</v>
      </c>
      <c r="N149" s="157" t="s">
        <v>321</v>
      </c>
    </row>
    <row r="150" spans="1:14">
      <c r="A150" s="156">
        <v>149</v>
      </c>
      <c r="B150" s="157" t="s">
        <v>441</v>
      </c>
      <c r="C150" s="156">
        <v>19</v>
      </c>
      <c r="D150" s="157" t="s">
        <v>43</v>
      </c>
      <c r="E150" s="156">
        <v>136</v>
      </c>
      <c r="F150" s="157" t="s">
        <v>421</v>
      </c>
      <c r="G150" s="158">
        <v>12</v>
      </c>
      <c r="H150" s="158">
        <v>8439</v>
      </c>
      <c r="I150" s="158">
        <v>101269</v>
      </c>
      <c r="J150" s="158">
        <v>6835</v>
      </c>
      <c r="K150" s="158">
        <v>82020</v>
      </c>
      <c r="L150" s="158">
        <v>19249</v>
      </c>
      <c r="M150" s="159">
        <v>0.190077911305533</v>
      </c>
      <c r="N150" s="157" t="s">
        <v>321</v>
      </c>
    </row>
    <row r="151" spans="1:14">
      <c r="A151" s="156">
        <v>150</v>
      </c>
      <c r="B151" s="157" t="s">
        <v>441</v>
      </c>
      <c r="C151" s="156">
        <v>19</v>
      </c>
      <c r="D151" s="157" t="s">
        <v>43</v>
      </c>
      <c r="E151" s="156">
        <v>16</v>
      </c>
      <c r="F151" s="157" t="s">
        <v>40</v>
      </c>
      <c r="G151" s="158">
        <v>240</v>
      </c>
      <c r="H151" s="158">
        <v>6000</v>
      </c>
      <c r="I151" s="158">
        <v>1440000</v>
      </c>
      <c r="J151" s="158">
        <v>4800</v>
      </c>
      <c r="K151" s="158">
        <v>1152000</v>
      </c>
      <c r="L151" s="158">
        <v>288000</v>
      </c>
      <c r="M151" s="159">
        <v>0.2</v>
      </c>
      <c r="N151" s="157" t="s">
        <v>321</v>
      </c>
    </row>
    <row r="152" spans="1:14">
      <c r="A152" s="156">
        <v>151</v>
      </c>
      <c r="B152" s="157" t="s">
        <v>441</v>
      </c>
      <c r="C152" s="156">
        <v>19</v>
      </c>
      <c r="D152" s="157" t="s">
        <v>43</v>
      </c>
      <c r="E152" s="156">
        <v>34</v>
      </c>
      <c r="F152" s="157" t="s">
        <v>41</v>
      </c>
      <c r="G152" s="158">
        <v>240</v>
      </c>
      <c r="H152" s="158">
        <v>15500</v>
      </c>
      <c r="I152" s="158">
        <v>3720000</v>
      </c>
      <c r="J152" s="158">
        <v>15000</v>
      </c>
      <c r="K152" s="158">
        <v>3600000</v>
      </c>
      <c r="L152" s="158">
        <v>120000</v>
      </c>
      <c r="M152" s="159">
        <v>3.2258064516128997E-2</v>
      </c>
      <c r="N152" s="157" t="s">
        <v>321</v>
      </c>
    </row>
    <row r="153" spans="1:14">
      <c r="A153" s="156">
        <v>152</v>
      </c>
      <c r="B153" s="157" t="s">
        <v>441</v>
      </c>
      <c r="C153" s="156">
        <v>19</v>
      </c>
      <c r="D153" s="157" t="s">
        <v>43</v>
      </c>
      <c r="E153" s="156">
        <v>11</v>
      </c>
      <c r="F153" s="157" t="s">
        <v>12</v>
      </c>
      <c r="G153" s="158">
        <v>1200</v>
      </c>
      <c r="H153" s="158">
        <v>600</v>
      </c>
      <c r="I153" s="158">
        <v>720000</v>
      </c>
      <c r="J153" s="158">
        <v>500</v>
      </c>
      <c r="K153" s="158">
        <v>600000</v>
      </c>
      <c r="L153" s="158">
        <v>120000</v>
      </c>
      <c r="M153" s="159">
        <v>0.16666666666666699</v>
      </c>
      <c r="N153" s="157" t="s">
        <v>321</v>
      </c>
    </row>
    <row r="154" spans="1:14">
      <c r="A154" s="156">
        <v>153</v>
      </c>
      <c r="B154" s="157" t="s">
        <v>441</v>
      </c>
      <c r="C154" s="156">
        <v>19</v>
      </c>
      <c r="D154" s="157" t="s">
        <v>43</v>
      </c>
      <c r="E154" s="156">
        <v>121</v>
      </c>
      <c r="F154" s="157" t="s">
        <v>406</v>
      </c>
      <c r="G154" s="158">
        <v>12</v>
      </c>
      <c r="H154" s="158">
        <v>35000</v>
      </c>
      <c r="I154" s="158">
        <v>420000</v>
      </c>
      <c r="J154" s="158">
        <v>30000</v>
      </c>
      <c r="K154" s="158">
        <v>360000</v>
      </c>
      <c r="L154" s="158">
        <v>60000</v>
      </c>
      <c r="M154" s="159">
        <v>0.14285714285714299</v>
      </c>
      <c r="N154" s="157" t="s">
        <v>321</v>
      </c>
    </row>
    <row r="155" spans="1:14">
      <c r="A155" s="156">
        <v>154</v>
      </c>
      <c r="B155" s="157" t="s">
        <v>441</v>
      </c>
      <c r="C155" s="156">
        <v>19</v>
      </c>
      <c r="D155" s="157" t="s">
        <v>43</v>
      </c>
      <c r="E155" s="156">
        <v>104</v>
      </c>
      <c r="F155" s="157" t="s">
        <v>389</v>
      </c>
      <c r="G155" s="158">
        <v>25</v>
      </c>
      <c r="H155" s="158">
        <v>102087</v>
      </c>
      <c r="I155" s="158">
        <v>2552182</v>
      </c>
      <c r="J155" s="158">
        <v>52064</v>
      </c>
      <c r="K155" s="158">
        <v>1301600</v>
      </c>
      <c r="L155" s="158">
        <v>1250582</v>
      </c>
      <c r="M155" s="159">
        <v>0.49000502315273797</v>
      </c>
      <c r="N155" s="157" t="s">
        <v>321</v>
      </c>
    </row>
    <row r="156" spans="1:14">
      <c r="A156" s="156">
        <v>155</v>
      </c>
      <c r="B156" s="157" t="s">
        <v>441</v>
      </c>
      <c r="C156" s="156">
        <v>19</v>
      </c>
      <c r="D156" s="157" t="s">
        <v>43</v>
      </c>
      <c r="E156" s="156">
        <v>101</v>
      </c>
      <c r="F156" s="157" t="s">
        <v>386</v>
      </c>
      <c r="G156" s="158">
        <v>20</v>
      </c>
      <c r="H156" s="158">
        <v>65329</v>
      </c>
      <c r="I156" s="158">
        <v>1306582</v>
      </c>
      <c r="J156" s="158">
        <v>33318</v>
      </c>
      <c r="K156" s="158">
        <v>666360</v>
      </c>
      <c r="L156" s="158">
        <v>640222</v>
      </c>
      <c r="M156" s="159">
        <v>0.489997566168828</v>
      </c>
      <c r="N156" s="157" t="s">
        <v>321</v>
      </c>
    </row>
    <row r="157" spans="1:14">
      <c r="A157" s="156">
        <v>156</v>
      </c>
      <c r="B157" s="157" t="s">
        <v>441</v>
      </c>
      <c r="C157" s="156">
        <v>19</v>
      </c>
      <c r="D157" s="157" t="s">
        <v>43</v>
      </c>
      <c r="E157" s="156">
        <v>102</v>
      </c>
      <c r="F157" s="157" t="s">
        <v>387</v>
      </c>
      <c r="G157" s="158">
        <v>20</v>
      </c>
      <c r="H157" s="158">
        <v>71007</v>
      </c>
      <c r="I157" s="158">
        <v>1420145</v>
      </c>
      <c r="J157" s="158">
        <v>36213</v>
      </c>
      <c r="K157" s="158">
        <v>724260</v>
      </c>
      <c r="L157" s="158">
        <v>695885</v>
      </c>
      <c r="M157" s="159">
        <v>0.49000982294061501</v>
      </c>
      <c r="N157" s="157" t="s">
        <v>321</v>
      </c>
    </row>
    <row r="158" spans="1:14">
      <c r="A158" s="156">
        <v>157</v>
      </c>
      <c r="B158" s="157" t="s">
        <v>440</v>
      </c>
      <c r="C158" s="156">
        <v>12</v>
      </c>
      <c r="D158" s="157" t="s">
        <v>304</v>
      </c>
      <c r="E158" s="156">
        <v>71</v>
      </c>
      <c r="F158" s="157" t="s">
        <v>356</v>
      </c>
      <c r="G158" s="158">
        <v>300</v>
      </c>
      <c r="H158" s="158">
        <v>55014</v>
      </c>
      <c r="I158" s="158">
        <v>3300817</v>
      </c>
      <c r="J158" s="158">
        <v>8362</v>
      </c>
      <c r="K158" s="158">
        <v>2508600</v>
      </c>
      <c r="L158" s="158">
        <v>792217</v>
      </c>
      <c r="M158" s="159">
        <v>0.24000633782484801</v>
      </c>
      <c r="N158" s="157" t="s">
        <v>321</v>
      </c>
    </row>
    <row r="159" spans="1:14">
      <c r="A159" s="156">
        <v>158</v>
      </c>
      <c r="B159" s="157" t="s">
        <v>440</v>
      </c>
      <c r="C159" s="156">
        <v>12</v>
      </c>
      <c r="D159" s="157" t="s">
        <v>304</v>
      </c>
      <c r="E159" s="156">
        <v>41</v>
      </c>
      <c r="F159" s="157" t="s">
        <v>44</v>
      </c>
      <c r="G159" s="158">
        <v>260</v>
      </c>
      <c r="H159" s="158">
        <v>19855</v>
      </c>
      <c r="I159" s="158">
        <v>1290545</v>
      </c>
      <c r="J159" s="158">
        <v>3600</v>
      </c>
      <c r="K159" s="158">
        <v>936000</v>
      </c>
      <c r="L159" s="158">
        <v>354545</v>
      </c>
      <c r="M159" s="159">
        <v>0.27472501927480297</v>
      </c>
      <c r="N159" s="157" t="s">
        <v>321</v>
      </c>
    </row>
    <row r="160" spans="1:14">
      <c r="A160" s="156">
        <v>159</v>
      </c>
      <c r="B160" s="157" t="s">
        <v>440</v>
      </c>
      <c r="C160" s="156">
        <v>12</v>
      </c>
      <c r="D160" s="157" t="s">
        <v>304</v>
      </c>
      <c r="E160" s="156">
        <v>122</v>
      </c>
      <c r="F160" s="157" t="s">
        <v>407</v>
      </c>
      <c r="G160" s="158">
        <v>12</v>
      </c>
      <c r="H160" s="158">
        <v>35000</v>
      </c>
      <c r="I160" s="158">
        <v>420000</v>
      </c>
      <c r="J160" s="158">
        <v>18000</v>
      </c>
      <c r="K160" s="158">
        <v>216000</v>
      </c>
      <c r="L160" s="158">
        <v>204000</v>
      </c>
      <c r="M160" s="159">
        <v>0.48571428571428599</v>
      </c>
      <c r="N160" s="157" t="s">
        <v>321</v>
      </c>
    </row>
    <row r="161" spans="1:14">
      <c r="A161" s="156">
        <v>160</v>
      </c>
      <c r="B161" s="157" t="s">
        <v>440</v>
      </c>
      <c r="C161" s="156">
        <v>12</v>
      </c>
      <c r="D161" s="157" t="s">
        <v>304</v>
      </c>
      <c r="E161" s="156">
        <v>8</v>
      </c>
      <c r="F161" s="157" t="s">
        <v>45</v>
      </c>
      <c r="G161" s="158">
        <v>300</v>
      </c>
      <c r="H161" s="158">
        <v>500</v>
      </c>
      <c r="I161" s="158">
        <v>150000</v>
      </c>
      <c r="J161" s="158">
        <v>435</v>
      </c>
      <c r="K161" s="158">
        <v>130500</v>
      </c>
      <c r="L161" s="158">
        <v>19500</v>
      </c>
      <c r="M161" s="159">
        <v>0.13</v>
      </c>
      <c r="N161" s="157" t="s">
        <v>321</v>
      </c>
    </row>
    <row r="162" spans="1:14">
      <c r="A162" s="156">
        <v>161</v>
      </c>
      <c r="B162" s="157" t="s">
        <v>440</v>
      </c>
      <c r="C162" s="156">
        <v>12</v>
      </c>
      <c r="D162" s="157" t="s">
        <v>304</v>
      </c>
      <c r="E162" s="156">
        <v>10</v>
      </c>
      <c r="F162" s="157" t="s">
        <v>46</v>
      </c>
      <c r="G162" s="158">
        <v>600</v>
      </c>
      <c r="H162" s="158">
        <v>500</v>
      </c>
      <c r="I162" s="158">
        <v>300000</v>
      </c>
      <c r="J162" s="158">
        <v>435</v>
      </c>
      <c r="K162" s="158">
        <v>261000</v>
      </c>
      <c r="L162" s="158">
        <v>39000</v>
      </c>
      <c r="M162" s="159">
        <v>0.13</v>
      </c>
      <c r="N162" s="157" t="s">
        <v>321</v>
      </c>
    </row>
    <row r="163" spans="1:14">
      <c r="A163" s="156">
        <v>162</v>
      </c>
      <c r="B163" s="157" t="s">
        <v>440</v>
      </c>
      <c r="C163" s="156">
        <v>12</v>
      </c>
      <c r="D163" s="157" t="s">
        <v>304</v>
      </c>
      <c r="E163" s="156">
        <v>17</v>
      </c>
      <c r="F163" s="157" t="s">
        <v>47</v>
      </c>
      <c r="G163" s="158">
        <v>200</v>
      </c>
      <c r="H163" s="158">
        <v>36900</v>
      </c>
      <c r="I163" s="158">
        <v>2460000</v>
      </c>
      <c r="J163" s="158">
        <v>11300</v>
      </c>
      <c r="K163" s="158">
        <v>2260000</v>
      </c>
      <c r="L163" s="158">
        <v>200000</v>
      </c>
      <c r="M163" s="159">
        <v>8.1300813008130093E-2</v>
      </c>
      <c r="N163" s="157" t="s">
        <v>321</v>
      </c>
    </row>
    <row r="164" spans="1:14">
      <c r="A164" s="156">
        <v>163</v>
      </c>
      <c r="B164" s="157" t="s">
        <v>440</v>
      </c>
      <c r="C164" s="156">
        <v>12</v>
      </c>
      <c r="D164" s="157" t="s">
        <v>304</v>
      </c>
      <c r="E164" s="156">
        <v>19</v>
      </c>
      <c r="F164" s="157" t="s">
        <v>48</v>
      </c>
      <c r="G164" s="158">
        <v>80</v>
      </c>
      <c r="H164" s="158">
        <v>24600</v>
      </c>
      <c r="I164" s="158">
        <v>984000</v>
      </c>
      <c r="J164" s="158">
        <v>11300</v>
      </c>
      <c r="K164" s="158">
        <v>904000</v>
      </c>
      <c r="L164" s="158">
        <v>80000</v>
      </c>
      <c r="M164" s="159">
        <v>8.1300813008130093E-2</v>
      </c>
      <c r="N164" s="157" t="s">
        <v>321</v>
      </c>
    </row>
    <row r="165" spans="1:14">
      <c r="A165" s="156">
        <v>164</v>
      </c>
      <c r="B165" s="157" t="s">
        <v>440</v>
      </c>
      <c r="C165" s="156">
        <v>12</v>
      </c>
      <c r="D165" s="157" t="s">
        <v>304</v>
      </c>
      <c r="E165" s="156">
        <v>21</v>
      </c>
      <c r="F165" s="157" t="s">
        <v>49</v>
      </c>
      <c r="G165" s="158">
        <v>60</v>
      </c>
      <c r="H165" s="158">
        <v>25600</v>
      </c>
      <c r="I165" s="158">
        <v>768000</v>
      </c>
      <c r="J165" s="158">
        <v>11300</v>
      </c>
      <c r="K165" s="158">
        <v>678000</v>
      </c>
      <c r="L165" s="158">
        <v>90000</v>
      </c>
      <c r="M165" s="159">
        <v>0.1171875</v>
      </c>
      <c r="N165" s="157" t="s">
        <v>321</v>
      </c>
    </row>
    <row r="166" spans="1:14">
      <c r="A166" s="156">
        <v>165</v>
      </c>
      <c r="B166" s="157" t="s">
        <v>440</v>
      </c>
      <c r="C166" s="156">
        <v>12</v>
      </c>
      <c r="D166" s="157" t="s">
        <v>304</v>
      </c>
      <c r="E166" s="156">
        <v>24</v>
      </c>
      <c r="F166" s="157" t="s">
        <v>6</v>
      </c>
      <c r="G166" s="158">
        <v>6</v>
      </c>
      <c r="H166" s="158">
        <v>89000</v>
      </c>
      <c r="I166" s="158">
        <v>534000</v>
      </c>
      <c r="J166" s="158">
        <v>55000</v>
      </c>
      <c r="K166" s="158">
        <v>330000</v>
      </c>
      <c r="L166" s="158">
        <v>204000</v>
      </c>
      <c r="M166" s="159">
        <v>0.38202247191011202</v>
      </c>
      <c r="N166" s="157" t="s">
        <v>321</v>
      </c>
    </row>
    <row r="167" spans="1:14">
      <c r="A167" s="156">
        <v>166</v>
      </c>
      <c r="B167" s="157" t="s">
        <v>440</v>
      </c>
      <c r="C167" s="156">
        <v>12</v>
      </c>
      <c r="D167" s="157" t="s">
        <v>304</v>
      </c>
      <c r="E167" s="156">
        <v>45</v>
      </c>
      <c r="F167" s="157" t="s">
        <v>50</v>
      </c>
      <c r="G167" s="158">
        <v>260</v>
      </c>
      <c r="H167" s="158">
        <v>18800</v>
      </c>
      <c r="I167" s="158">
        <v>1222000</v>
      </c>
      <c r="J167" s="158">
        <v>4200</v>
      </c>
      <c r="K167" s="158">
        <v>1092000</v>
      </c>
      <c r="L167" s="158">
        <v>130000</v>
      </c>
      <c r="M167" s="159">
        <v>0.10638297872340401</v>
      </c>
      <c r="N167" s="157" t="s">
        <v>321</v>
      </c>
    </row>
    <row r="168" spans="1:14">
      <c r="A168" s="156">
        <v>167</v>
      </c>
      <c r="B168" s="157" t="s">
        <v>441</v>
      </c>
      <c r="C168" s="156">
        <v>12</v>
      </c>
      <c r="D168" s="157" t="s">
        <v>304</v>
      </c>
      <c r="E168" s="156">
        <v>71</v>
      </c>
      <c r="F168" s="157" t="s">
        <v>356</v>
      </c>
      <c r="G168" s="158">
        <v>270</v>
      </c>
      <c r="H168" s="158">
        <v>44011</v>
      </c>
      <c r="I168" s="158">
        <v>2970737</v>
      </c>
      <c r="J168" s="158">
        <v>8362</v>
      </c>
      <c r="K168" s="158">
        <v>2257740</v>
      </c>
      <c r="L168" s="158">
        <v>712997</v>
      </c>
      <c r="M168" s="159">
        <v>0.24000677273013399</v>
      </c>
      <c r="N168" s="157" t="s">
        <v>321</v>
      </c>
    </row>
    <row r="169" spans="1:14">
      <c r="A169" s="156">
        <v>168</v>
      </c>
      <c r="B169" s="157" t="s">
        <v>441</v>
      </c>
      <c r="C169" s="156">
        <v>12</v>
      </c>
      <c r="D169" s="157" t="s">
        <v>304</v>
      </c>
      <c r="E169" s="156">
        <v>41</v>
      </c>
      <c r="F169" s="157" t="s">
        <v>44</v>
      </c>
      <c r="G169" s="158">
        <v>240</v>
      </c>
      <c r="H169" s="158">
        <v>9927</v>
      </c>
      <c r="I169" s="158">
        <v>1191273</v>
      </c>
      <c r="J169" s="158">
        <v>3600</v>
      </c>
      <c r="K169" s="158">
        <v>864000</v>
      </c>
      <c r="L169" s="158">
        <v>327273</v>
      </c>
      <c r="M169" s="159">
        <v>0.274725440767985</v>
      </c>
      <c r="N169" s="157" t="s">
        <v>321</v>
      </c>
    </row>
    <row r="170" spans="1:14">
      <c r="A170" s="156">
        <v>169</v>
      </c>
      <c r="B170" s="157" t="s">
        <v>441</v>
      </c>
      <c r="C170" s="156">
        <v>12</v>
      </c>
      <c r="D170" s="157" t="s">
        <v>304</v>
      </c>
      <c r="E170" s="156">
        <v>8</v>
      </c>
      <c r="F170" s="157" t="s">
        <v>45</v>
      </c>
      <c r="G170" s="158">
        <v>300</v>
      </c>
      <c r="H170" s="158">
        <v>500</v>
      </c>
      <c r="I170" s="158">
        <v>150000</v>
      </c>
      <c r="J170" s="158">
        <v>435</v>
      </c>
      <c r="K170" s="158">
        <v>130500</v>
      </c>
      <c r="L170" s="158">
        <v>19500</v>
      </c>
      <c r="M170" s="159">
        <v>0.13</v>
      </c>
      <c r="N170" s="157" t="s">
        <v>321</v>
      </c>
    </row>
    <row r="171" spans="1:14">
      <c r="A171" s="156">
        <v>170</v>
      </c>
      <c r="B171" s="157" t="s">
        <v>441</v>
      </c>
      <c r="C171" s="156">
        <v>12</v>
      </c>
      <c r="D171" s="157" t="s">
        <v>304</v>
      </c>
      <c r="E171" s="156">
        <v>10</v>
      </c>
      <c r="F171" s="157" t="s">
        <v>46</v>
      </c>
      <c r="G171" s="158">
        <v>600</v>
      </c>
      <c r="H171" s="158">
        <v>500</v>
      </c>
      <c r="I171" s="158">
        <v>300000</v>
      </c>
      <c r="J171" s="158">
        <v>435</v>
      </c>
      <c r="K171" s="158">
        <v>261000</v>
      </c>
      <c r="L171" s="158">
        <v>39000</v>
      </c>
      <c r="M171" s="159">
        <v>0.13</v>
      </c>
      <c r="N171" s="157" t="s">
        <v>321</v>
      </c>
    </row>
    <row r="172" spans="1:14">
      <c r="A172" s="156">
        <v>171</v>
      </c>
      <c r="B172" s="157" t="s">
        <v>441</v>
      </c>
      <c r="C172" s="156">
        <v>12</v>
      </c>
      <c r="D172" s="157" t="s">
        <v>304</v>
      </c>
      <c r="E172" s="156">
        <v>17</v>
      </c>
      <c r="F172" s="157" t="s">
        <v>47</v>
      </c>
      <c r="G172" s="158">
        <v>180</v>
      </c>
      <c r="H172" s="158">
        <v>24600</v>
      </c>
      <c r="I172" s="158">
        <v>2214000</v>
      </c>
      <c r="J172" s="158">
        <v>11300</v>
      </c>
      <c r="K172" s="158">
        <v>2034000</v>
      </c>
      <c r="L172" s="158">
        <v>180000</v>
      </c>
      <c r="M172" s="159">
        <v>8.1300813008130093E-2</v>
      </c>
      <c r="N172" s="157" t="s">
        <v>321</v>
      </c>
    </row>
    <row r="173" spans="1:14">
      <c r="A173" s="156">
        <v>172</v>
      </c>
      <c r="B173" s="157" t="s">
        <v>441</v>
      </c>
      <c r="C173" s="156">
        <v>12</v>
      </c>
      <c r="D173" s="157" t="s">
        <v>304</v>
      </c>
      <c r="E173" s="156">
        <v>19</v>
      </c>
      <c r="F173" s="157" t="s">
        <v>48</v>
      </c>
      <c r="G173" s="158">
        <v>80</v>
      </c>
      <c r="H173" s="158">
        <v>12300</v>
      </c>
      <c r="I173" s="158">
        <v>984000</v>
      </c>
      <c r="J173" s="158">
        <v>11300</v>
      </c>
      <c r="K173" s="158">
        <v>904000</v>
      </c>
      <c r="L173" s="158">
        <v>80000</v>
      </c>
      <c r="M173" s="159">
        <v>8.1300813008130093E-2</v>
      </c>
      <c r="N173" s="157" t="s">
        <v>321</v>
      </c>
    </row>
    <row r="174" spans="1:14">
      <c r="A174" s="156">
        <v>173</v>
      </c>
      <c r="B174" s="157" t="s">
        <v>441</v>
      </c>
      <c r="C174" s="156">
        <v>12</v>
      </c>
      <c r="D174" s="157" t="s">
        <v>304</v>
      </c>
      <c r="E174" s="156">
        <v>21</v>
      </c>
      <c r="F174" s="157" t="s">
        <v>49</v>
      </c>
      <c r="G174" s="158">
        <v>80</v>
      </c>
      <c r="H174" s="158">
        <v>12800</v>
      </c>
      <c r="I174" s="158">
        <v>1024000</v>
      </c>
      <c r="J174" s="158">
        <v>11300</v>
      </c>
      <c r="K174" s="158">
        <v>904000</v>
      </c>
      <c r="L174" s="158">
        <v>120000</v>
      </c>
      <c r="M174" s="159">
        <v>0.1171875</v>
      </c>
      <c r="N174" s="157" t="s">
        <v>321</v>
      </c>
    </row>
    <row r="175" spans="1:14">
      <c r="A175" s="156">
        <v>174</v>
      </c>
      <c r="B175" s="157" t="s">
        <v>441</v>
      </c>
      <c r="C175" s="156">
        <v>12</v>
      </c>
      <c r="D175" s="157" t="s">
        <v>304</v>
      </c>
      <c r="E175" s="156">
        <v>45</v>
      </c>
      <c r="F175" s="157" t="s">
        <v>50</v>
      </c>
      <c r="G175" s="158">
        <v>240</v>
      </c>
      <c r="H175" s="158">
        <v>9400</v>
      </c>
      <c r="I175" s="158">
        <v>1128000</v>
      </c>
      <c r="J175" s="158">
        <v>4200</v>
      </c>
      <c r="K175" s="158">
        <v>1008000</v>
      </c>
      <c r="L175" s="158">
        <v>120000</v>
      </c>
      <c r="M175" s="159">
        <v>0.10638297872340401</v>
      </c>
      <c r="N175" s="157" t="s">
        <v>321</v>
      </c>
    </row>
    <row r="176" spans="1:14">
      <c r="A176" s="156">
        <v>175</v>
      </c>
      <c r="B176" s="157" t="s">
        <v>440</v>
      </c>
      <c r="C176" s="156">
        <v>17</v>
      </c>
      <c r="D176" s="157" t="s">
        <v>55</v>
      </c>
      <c r="E176" s="156">
        <v>42</v>
      </c>
      <c r="F176" s="157" t="s">
        <v>1</v>
      </c>
      <c r="G176" s="158">
        <v>919</v>
      </c>
      <c r="H176" s="158">
        <v>4964</v>
      </c>
      <c r="I176" s="158">
        <v>4561916</v>
      </c>
      <c r="J176" s="158">
        <v>3860</v>
      </c>
      <c r="K176" s="158">
        <v>3547340</v>
      </c>
      <c r="L176" s="158">
        <v>1014576</v>
      </c>
      <c r="M176" s="159">
        <v>0.22240128928283601</v>
      </c>
      <c r="N176" s="157" t="s">
        <v>321</v>
      </c>
    </row>
    <row r="177" spans="1:14">
      <c r="A177" s="156">
        <v>176</v>
      </c>
      <c r="B177" s="157" t="s">
        <v>440</v>
      </c>
      <c r="C177" s="156">
        <v>17</v>
      </c>
      <c r="D177" s="157" t="s">
        <v>55</v>
      </c>
      <c r="E177" s="156">
        <v>72</v>
      </c>
      <c r="F177" s="157" t="s">
        <v>357</v>
      </c>
      <c r="G177" s="158">
        <v>360</v>
      </c>
      <c r="H177" s="158">
        <v>11003</v>
      </c>
      <c r="I177" s="158">
        <v>3960982</v>
      </c>
      <c r="J177" s="158">
        <v>8362.0727272727308</v>
      </c>
      <c r="K177" s="158">
        <v>3010346.1818181798</v>
      </c>
      <c r="L177" s="158">
        <v>950635.818181818</v>
      </c>
      <c r="M177" s="159">
        <v>0.240000034885748</v>
      </c>
      <c r="N177" s="157" t="s">
        <v>321</v>
      </c>
    </row>
    <row r="178" spans="1:14">
      <c r="A178" s="156">
        <v>177</v>
      </c>
      <c r="B178" s="157" t="s">
        <v>440</v>
      </c>
      <c r="C178" s="156">
        <v>17</v>
      </c>
      <c r="D178" s="157" t="s">
        <v>55</v>
      </c>
      <c r="E178" s="156">
        <v>70</v>
      </c>
      <c r="F178" s="157" t="s">
        <v>355</v>
      </c>
      <c r="G178" s="158">
        <v>70</v>
      </c>
      <c r="H178" s="158">
        <v>10919</v>
      </c>
      <c r="I178" s="158">
        <v>764336</v>
      </c>
      <c r="J178" s="158">
        <v>8298.5090909090904</v>
      </c>
      <c r="K178" s="158">
        <v>580895.636363636</v>
      </c>
      <c r="L178" s="158">
        <v>183440.363636364</v>
      </c>
      <c r="M178" s="159">
        <v>0.23999963842650801</v>
      </c>
      <c r="N178" s="157" t="s">
        <v>321</v>
      </c>
    </row>
    <row r="179" spans="1:14">
      <c r="A179" s="156">
        <v>178</v>
      </c>
      <c r="B179" s="157" t="s">
        <v>440</v>
      </c>
      <c r="C179" s="156">
        <v>17</v>
      </c>
      <c r="D179" s="157" t="s">
        <v>55</v>
      </c>
      <c r="E179" s="156">
        <v>123</v>
      </c>
      <c r="F179" s="157" t="s">
        <v>408</v>
      </c>
      <c r="G179" s="158">
        <v>20</v>
      </c>
      <c r="H179" s="158">
        <v>32000</v>
      </c>
      <c r="I179" s="158">
        <v>640000</v>
      </c>
      <c r="J179" s="158">
        <v>16000</v>
      </c>
      <c r="K179" s="158">
        <v>320000</v>
      </c>
      <c r="L179" s="158">
        <v>320000</v>
      </c>
      <c r="M179" s="159">
        <v>0.5</v>
      </c>
      <c r="N179" s="157" t="s">
        <v>321</v>
      </c>
    </row>
    <row r="180" spans="1:14">
      <c r="A180" s="156">
        <v>179</v>
      </c>
      <c r="B180" s="157" t="s">
        <v>440</v>
      </c>
      <c r="C180" s="156">
        <v>17</v>
      </c>
      <c r="D180" s="157" t="s">
        <v>55</v>
      </c>
      <c r="E180" s="156">
        <v>9</v>
      </c>
      <c r="F180" s="157" t="s">
        <v>11</v>
      </c>
      <c r="G180" s="158">
        <v>150</v>
      </c>
      <c r="H180" s="158">
        <v>600</v>
      </c>
      <c r="I180" s="158">
        <v>90000</v>
      </c>
      <c r="J180" s="158">
        <v>435</v>
      </c>
      <c r="K180" s="158">
        <v>65250</v>
      </c>
      <c r="L180" s="158">
        <v>24750</v>
      </c>
      <c r="M180" s="159">
        <v>0.27500000000000002</v>
      </c>
      <c r="N180" s="157" t="s">
        <v>321</v>
      </c>
    </row>
    <row r="181" spans="1:14">
      <c r="A181" s="156">
        <v>180</v>
      </c>
      <c r="B181" s="157" t="s">
        <v>440</v>
      </c>
      <c r="C181" s="156">
        <v>17</v>
      </c>
      <c r="D181" s="157" t="s">
        <v>55</v>
      </c>
      <c r="E181" s="156">
        <v>11</v>
      </c>
      <c r="F181" s="157" t="s">
        <v>12</v>
      </c>
      <c r="G181" s="158">
        <v>1800</v>
      </c>
      <c r="H181" s="158">
        <v>600</v>
      </c>
      <c r="I181" s="158">
        <v>1080000</v>
      </c>
      <c r="J181" s="158">
        <v>435</v>
      </c>
      <c r="K181" s="158">
        <v>783000</v>
      </c>
      <c r="L181" s="158">
        <v>297000</v>
      </c>
      <c r="M181" s="159">
        <v>0.27500000000000002</v>
      </c>
      <c r="N181" s="157" t="s">
        <v>321</v>
      </c>
    </row>
    <row r="182" spans="1:14">
      <c r="A182" s="156">
        <v>181</v>
      </c>
      <c r="B182" s="157" t="s">
        <v>440</v>
      </c>
      <c r="C182" s="156">
        <v>17</v>
      </c>
      <c r="D182" s="157" t="s">
        <v>55</v>
      </c>
      <c r="E182" s="156">
        <v>12</v>
      </c>
      <c r="F182" s="157" t="s">
        <v>52</v>
      </c>
      <c r="G182" s="158">
        <v>150</v>
      </c>
      <c r="H182" s="158">
        <v>600</v>
      </c>
      <c r="I182" s="158">
        <v>90000</v>
      </c>
      <c r="J182" s="158">
        <v>435</v>
      </c>
      <c r="K182" s="158">
        <v>65250</v>
      </c>
      <c r="L182" s="158">
        <v>24750</v>
      </c>
      <c r="M182" s="159">
        <v>0.27500000000000002</v>
      </c>
      <c r="N182" s="157" t="s">
        <v>321</v>
      </c>
    </row>
    <row r="183" spans="1:14">
      <c r="A183" s="156">
        <v>182</v>
      </c>
      <c r="B183" s="157" t="s">
        <v>440</v>
      </c>
      <c r="C183" s="156">
        <v>17</v>
      </c>
      <c r="D183" s="157" t="s">
        <v>55</v>
      </c>
      <c r="E183" s="156">
        <v>25</v>
      </c>
      <c r="F183" s="157" t="s">
        <v>53</v>
      </c>
      <c r="G183" s="158">
        <v>48</v>
      </c>
      <c r="H183" s="158">
        <v>14900</v>
      </c>
      <c r="I183" s="158">
        <v>715200</v>
      </c>
      <c r="J183" s="158">
        <v>9000</v>
      </c>
      <c r="K183" s="158">
        <v>432000</v>
      </c>
      <c r="L183" s="158">
        <v>283200</v>
      </c>
      <c r="M183" s="159">
        <v>0.39597315436241598</v>
      </c>
      <c r="N183" s="157" t="s">
        <v>321</v>
      </c>
    </row>
    <row r="184" spans="1:14">
      <c r="A184" s="156">
        <v>183</v>
      </c>
      <c r="B184" s="157" t="s">
        <v>440</v>
      </c>
      <c r="C184" s="156">
        <v>17</v>
      </c>
      <c r="D184" s="157" t="s">
        <v>55</v>
      </c>
      <c r="E184" s="156">
        <v>31</v>
      </c>
      <c r="F184" s="157" t="s">
        <v>54</v>
      </c>
      <c r="G184" s="158">
        <v>48</v>
      </c>
      <c r="H184" s="158">
        <v>14900</v>
      </c>
      <c r="I184" s="158">
        <v>715200</v>
      </c>
      <c r="J184" s="158">
        <v>10000</v>
      </c>
      <c r="K184" s="158">
        <v>480000</v>
      </c>
      <c r="L184" s="158">
        <v>235200</v>
      </c>
      <c r="M184" s="159">
        <v>0.32885906040268498</v>
      </c>
      <c r="N184" s="157" t="s">
        <v>321</v>
      </c>
    </row>
    <row r="185" spans="1:14">
      <c r="A185" s="156">
        <v>184</v>
      </c>
      <c r="B185" s="157" t="s">
        <v>440</v>
      </c>
      <c r="C185" s="156">
        <v>17</v>
      </c>
      <c r="D185" s="157" t="s">
        <v>55</v>
      </c>
      <c r="E185" s="156">
        <v>18</v>
      </c>
      <c r="F185" s="157" t="s">
        <v>28</v>
      </c>
      <c r="G185" s="158">
        <v>320</v>
      </c>
      <c r="H185" s="158">
        <v>14900</v>
      </c>
      <c r="I185" s="158">
        <v>4768000</v>
      </c>
      <c r="J185" s="158">
        <v>15000</v>
      </c>
      <c r="K185" s="158">
        <v>4800000</v>
      </c>
      <c r="L185" s="158">
        <v>-32000</v>
      </c>
      <c r="M185" s="159">
        <v>-6.7114093959731499E-3</v>
      </c>
      <c r="N185" s="157" t="s">
        <v>321</v>
      </c>
    </row>
    <row r="186" spans="1:14">
      <c r="A186" s="156">
        <v>185</v>
      </c>
      <c r="B186" s="157" t="s">
        <v>440</v>
      </c>
      <c r="C186" s="156">
        <v>17</v>
      </c>
      <c r="D186" s="157" t="s">
        <v>55</v>
      </c>
      <c r="E186" s="156">
        <v>20</v>
      </c>
      <c r="F186" s="157" t="s">
        <v>2</v>
      </c>
      <c r="G186" s="158">
        <v>420</v>
      </c>
      <c r="H186" s="158">
        <v>14900</v>
      </c>
      <c r="I186" s="158">
        <v>6258000</v>
      </c>
      <c r="J186" s="158">
        <v>15000</v>
      </c>
      <c r="K186" s="158">
        <v>6300000</v>
      </c>
      <c r="L186" s="158">
        <v>-42000</v>
      </c>
      <c r="M186" s="159">
        <v>-6.7114093959731499E-3</v>
      </c>
      <c r="N186" s="157" t="s">
        <v>321</v>
      </c>
    </row>
    <row r="187" spans="1:14">
      <c r="A187" s="156">
        <v>186</v>
      </c>
      <c r="B187" s="157" t="s">
        <v>440</v>
      </c>
      <c r="C187" s="156">
        <v>17</v>
      </c>
      <c r="D187" s="157" t="s">
        <v>55</v>
      </c>
      <c r="E187" s="156">
        <v>22</v>
      </c>
      <c r="F187" s="157" t="s">
        <v>10</v>
      </c>
      <c r="G187" s="158">
        <v>40</v>
      </c>
      <c r="H187" s="158">
        <v>14900</v>
      </c>
      <c r="I187" s="158">
        <v>596000</v>
      </c>
      <c r="J187" s="158">
        <v>15000</v>
      </c>
      <c r="K187" s="158">
        <v>600000</v>
      </c>
      <c r="L187" s="158">
        <v>-4000</v>
      </c>
      <c r="M187" s="159">
        <v>-6.7114093959731499E-3</v>
      </c>
      <c r="N187" s="157" t="s">
        <v>321</v>
      </c>
    </row>
    <row r="188" spans="1:14">
      <c r="A188" s="156">
        <v>187</v>
      </c>
      <c r="B188" s="157" t="s">
        <v>440</v>
      </c>
      <c r="C188" s="156">
        <v>17</v>
      </c>
      <c r="D188" s="157" t="s">
        <v>55</v>
      </c>
      <c r="E188" s="156">
        <v>46</v>
      </c>
      <c r="F188" s="157" t="s">
        <v>15</v>
      </c>
      <c r="G188" s="158">
        <v>900</v>
      </c>
      <c r="H188" s="158">
        <v>6900</v>
      </c>
      <c r="I188" s="158">
        <v>6210000</v>
      </c>
      <c r="J188" s="158">
        <v>5000</v>
      </c>
      <c r="K188" s="158">
        <v>4500000</v>
      </c>
      <c r="L188" s="158">
        <v>1710000</v>
      </c>
      <c r="M188" s="159">
        <v>0.27536231884057999</v>
      </c>
      <c r="N188" s="157" t="s">
        <v>321</v>
      </c>
    </row>
    <row r="189" spans="1:14">
      <c r="A189" s="156">
        <v>188</v>
      </c>
      <c r="B189" s="157" t="s">
        <v>441</v>
      </c>
      <c r="C189" s="156">
        <v>17</v>
      </c>
      <c r="D189" s="157" t="s">
        <v>55</v>
      </c>
      <c r="E189" s="156">
        <v>42</v>
      </c>
      <c r="F189" s="157" t="s">
        <v>1</v>
      </c>
      <c r="G189" s="158">
        <v>850</v>
      </c>
      <c r="H189" s="158">
        <v>4964</v>
      </c>
      <c r="I189" s="158">
        <v>4219091</v>
      </c>
      <c r="J189" s="158">
        <v>3860</v>
      </c>
      <c r="K189" s="158">
        <v>3281000</v>
      </c>
      <c r="L189" s="158">
        <v>938091</v>
      </c>
      <c r="M189" s="159">
        <v>0.222344339100531</v>
      </c>
      <c r="N189" s="157" t="s">
        <v>321</v>
      </c>
    </row>
    <row r="190" spans="1:14">
      <c r="A190" s="156">
        <v>189</v>
      </c>
      <c r="B190" s="157" t="s">
        <v>441</v>
      </c>
      <c r="C190" s="156">
        <v>17</v>
      </c>
      <c r="D190" s="157" t="s">
        <v>55</v>
      </c>
      <c r="E190" s="156">
        <v>72</v>
      </c>
      <c r="F190" s="157" t="s">
        <v>357</v>
      </c>
      <c r="G190" s="158">
        <v>270</v>
      </c>
      <c r="H190" s="158">
        <v>11003</v>
      </c>
      <c r="I190" s="158">
        <v>2970736</v>
      </c>
      <c r="J190" s="158">
        <v>8362.0727272727308</v>
      </c>
      <c r="K190" s="158">
        <v>2257759.63636364</v>
      </c>
      <c r="L190" s="158">
        <v>712976.363636364</v>
      </c>
      <c r="M190" s="159">
        <v>0.23999990697132401</v>
      </c>
      <c r="N190" s="157" t="s">
        <v>321</v>
      </c>
    </row>
    <row r="191" spans="1:14">
      <c r="A191" s="156">
        <v>190</v>
      </c>
      <c r="B191" s="157" t="s">
        <v>441</v>
      </c>
      <c r="C191" s="156">
        <v>17</v>
      </c>
      <c r="D191" s="157" t="s">
        <v>55</v>
      </c>
      <c r="E191" s="156">
        <v>70</v>
      </c>
      <c r="F191" s="157" t="s">
        <v>355</v>
      </c>
      <c r="G191" s="158">
        <v>20</v>
      </c>
      <c r="H191" s="158">
        <v>10919</v>
      </c>
      <c r="I191" s="158">
        <v>218382</v>
      </c>
      <c r="J191" s="158">
        <v>8298.5090909090904</v>
      </c>
      <c r="K191" s="158">
        <v>165970.181818182</v>
      </c>
      <c r="L191" s="158">
        <v>52411.818181818198</v>
      </c>
      <c r="M191" s="159">
        <v>0.24000063275278299</v>
      </c>
      <c r="N191" s="157" t="s">
        <v>321</v>
      </c>
    </row>
    <row r="192" spans="1:14">
      <c r="A192" s="156">
        <v>191</v>
      </c>
      <c r="B192" s="157" t="s">
        <v>441</v>
      </c>
      <c r="C192" s="156">
        <v>17</v>
      </c>
      <c r="D192" s="157" t="s">
        <v>55</v>
      </c>
      <c r="E192" s="156">
        <v>123</v>
      </c>
      <c r="F192" s="157" t="s">
        <v>408</v>
      </c>
      <c r="G192" s="158">
        <v>24</v>
      </c>
      <c r="H192" s="158">
        <v>32000</v>
      </c>
      <c r="I192" s="158">
        <v>768000</v>
      </c>
      <c r="J192" s="158">
        <v>16000</v>
      </c>
      <c r="K192" s="158">
        <v>384000</v>
      </c>
      <c r="L192" s="158">
        <v>384000</v>
      </c>
      <c r="M192" s="159">
        <v>0.5</v>
      </c>
      <c r="N192" s="157" t="s">
        <v>321</v>
      </c>
    </row>
    <row r="193" spans="1:14">
      <c r="A193" s="156">
        <v>192</v>
      </c>
      <c r="B193" s="157" t="s">
        <v>441</v>
      </c>
      <c r="C193" s="156">
        <v>17</v>
      </c>
      <c r="D193" s="157" t="s">
        <v>55</v>
      </c>
      <c r="E193" s="156">
        <v>9</v>
      </c>
      <c r="F193" s="157" t="s">
        <v>11</v>
      </c>
      <c r="G193" s="158">
        <v>150</v>
      </c>
      <c r="H193" s="158">
        <v>600</v>
      </c>
      <c r="I193" s="158">
        <v>90000</v>
      </c>
      <c r="J193" s="158">
        <v>435</v>
      </c>
      <c r="K193" s="158">
        <v>65250</v>
      </c>
      <c r="L193" s="158">
        <v>24750</v>
      </c>
      <c r="M193" s="159">
        <v>0.27500000000000002</v>
      </c>
      <c r="N193" s="157" t="s">
        <v>321</v>
      </c>
    </row>
    <row r="194" spans="1:14">
      <c r="A194" s="156">
        <v>193</v>
      </c>
      <c r="B194" s="157" t="s">
        <v>441</v>
      </c>
      <c r="C194" s="156">
        <v>17</v>
      </c>
      <c r="D194" s="157" t="s">
        <v>55</v>
      </c>
      <c r="E194" s="156">
        <v>11</v>
      </c>
      <c r="F194" s="157" t="s">
        <v>12</v>
      </c>
      <c r="G194" s="158">
        <v>1500</v>
      </c>
      <c r="H194" s="158">
        <v>600</v>
      </c>
      <c r="I194" s="158">
        <v>900000</v>
      </c>
      <c r="J194" s="158">
        <v>435</v>
      </c>
      <c r="K194" s="158">
        <v>652500</v>
      </c>
      <c r="L194" s="158">
        <v>247500</v>
      </c>
      <c r="M194" s="159">
        <v>0.27500000000000002</v>
      </c>
      <c r="N194" s="157" t="s">
        <v>321</v>
      </c>
    </row>
    <row r="195" spans="1:14">
      <c r="A195" s="156">
        <v>194</v>
      </c>
      <c r="B195" s="157" t="s">
        <v>441</v>
      </c>
      <c r="C195" s="156">
        <v>17</v>
      </c>
      <c r="D195" s="157" t="s">
        <v>55</v>
      </c>
      <c r="E195" s="156">
        <v>12</v>
      </c>
      <c r="F195" s="157" t="s">
        <v>52</v>
      </c>
      <c r="G195" s="158">
        <v>150</v>
      </c>
      <c r="H195" s="158">
        <v>600</v>
      </c>
      <c r="I195" s="158">
        <v>90000</v>
      </c>
      <c r="J195" s="158">
        <v>435</v>
      </c>
      <c r="K195" s="158">
        <v>65250</v>
      </c>
      <c r="L195" s="158">
        <v>24750</v>
      </c>
      <c r="M195" s="159">
        <v>0.27500000000000002</v>
      </c>
      <c r="N195" s="157" t="s">
        <v>321</v>
      </c>
    </row>
    <row r="196" spans="1:14">
      <c r="A196" s="156">
        <v>195</v>
      </c>
      <c r="B196" s="157" t="s">
        <v>441</v>
      </c>
      <c r="C196" s="156">
        <v>17</v>
      </c>
      <c r="D196" s="157" t="s">
        <v>55</v>
      </c>
      <c r="E196" s="156">
        <v>25</v>
      </c>
      <c r="F196" s="157" t="s">
        <v>53</v>
      </c>
      <c r="G196" s="158">
        <v>48</v>
      </c>
      <c r="H196" s="158">
        <v>14900</v>
      </c>
      <c r="I196" s="158">
        <v>715200</v>
      </c>
      <c r="J196" s="158">
        <v>9000</v>
      </c>
      <c r="K196" s="158">
        <v>432000</v>
      </c>
      <c r="L196" s="158">
        <v>283200</v>
      </c>
      <c r="M196" s="159">
        <v>0.39597315436241598</v>
      </c>
      <c r="N196" s="157" t="s">
        <v>321</v>
      </c>
    </row>
    <row r="197" spans="1:14">
      <c r="A197" s="156">
        <v>196</v>
      </c>
      <c r="B197" s="157" t="s">
        <v>441</v>
      </c>
      <c r="C197" s="156">
        <v>17</v>
      </c>
      <c r="D197" s="157" t="s">
        <v>55</v>
      </c>
      <c r="E197" s="156">
        <v>31</v>
      </c>
      <c r="F197" s="157" t="s">
        <v>54</v>
      </c>
      <c r="G197" s="158">
        <v>48</v>
      </c>
      <c r="H197" s="158">
        <v>14900</v>
      </c>
      <c r="I197" s="158">
        <v>715200</v>
      </c>
      <c r="J197" s="158">
        <v>10000</v>
      </c>
      <c r="K197" s="158">
        <v>480000</v>
      </c>
      <c r="L197" s="158">
        <v>235200</v>
      </c>
      <c r="M197" s="159">
        <v>0.32885906040268498</v>
      </c>
      <c r="N197" s="157" t="s">
        <v>321</v>
      </c>
    </row>
    <row r="198" spans="1:14">
      <c r="A198" s="156">
        <v>197</v>
      </c>
      <c r="B198" s="157" t="s">
        <v>441</v>
      </c>
      <c r="C198" s="156">
        <v>17</v>
      </c>
      <c r="D198" s="157" t="s">
        <v>55</v>
      </c>
      <c r="E198" s="156">
        <v>18</v>
      </c>
      <c r="F198" s="157" t="s">
        <v>28</v>
      </c>
      <c r="G198" s="158">
        <v>240</v>
      </c>
      <c r="H198" s="158">
        <v>14900</v>
      </c>
      <c r="I198" s="158">
        <v>3576000</v>
      </c>
      <c r="J198" s="158">
        <v>15000</v>
      </c>
      <c r="K198" s="158">
        <v>3600000</v>
      </c>
      <c r="L198" s="158">
        <v>-24000</v>
      </c>
      <c r="M198" s="159">
        <v>-6.7114093959731499E-3</v>
      </c>
      <c r="N198" s="157" t="s">
        <v>321</v>
      </c>
    </row>
    <row r="199" spans="1:14">
      <c r="A199" s="156">
        <v>198</v>
      </c>
      <c r="B199" s="157" t="s">
        <v>441</v>
      </c>
      <c r="C199" s="156">
        <v>17</v>
      </c>
      <c r="D199" s="157" t="s">
        <v>55</v>
      </c>
      <c r="E199" s="156">
        <v>20</v>
      </c>
      <c r="F199" s="157" t="s">
        <v>2</v>
      </c>
      <c r="G199" s="158">
        <v>320</v>
      </c>
      <c r="H199" s="158">
        <v>14900</v>
      </c>
      <c r="I199" s="158">
        <v>4768000</v>
      </c>
      <c r="J199" s="158">
        <v>15000</v>
      </c>
      <c r="K199" s="158">
        <v>4800000</v>
      </c>
      <c r="L199" s="158">
        <v>-32000</v>
      </c>
      <c r="M199" s="159">
        <v>-6.7114093959731499E-3</v>
      </c>
      <c r="N199" s="157" t="s">
        <v>321</v>
      </c>
    </row>
    <row r="200" spans="1:14">
      <c r="A200" s="156">
        <v>199</v>
      </c>
      <c r="B200" s="157" t="s">
        <v>441</v>
      </c>
      <c r="C200" s="156">
        <v>17</v>
      </c>
      <c r="D200" s="157" t="s">
        <v>55</v>
      </c>
      <c r="E200" s="156">
        <v>22</v>
      </c>
      <c r="F200" s="157" t="s">
        <v>10</v>
      </c>
      <c r="G200" s="158">
        <v>40</v>
      </c>
      <c r="H200" s="158">
        <v>14900</v>
      </c>
      <c r="I200" s="158">
        <v>596000</v>
      </c>
      <c r="J200" s="158">
        <v>15000</v>
      </c>
      <c r="K200" s="158">
        <v>600000</v>
      </c>
      <c r="L200" s="158">
        <v>-4000</v>
      </c>
      <c r="M200" s="159">
        <v>-6.7114093959731499E-3</v>
      </c>
      <c r="N200" s="157" t="s">
        <v>321</v>
      </c>
    </row>
    <row r="201" spans="1:14">
      <c r="A201" s="156">
        <v>200</v>
      </c>
      <c r="B201" s="157" t="s">
        <v>441</v>
      </c>
      <c r="C201" s="156">
        <v>17</v>
      </c>
      <c r="D201" s="157" t="s">
        <v>55</v>
      </c>
      <c r="E201" s="156">
        <v>46</v>
      </c>
      <c r="F201" s="157" t="s">
        <v>15</v>
      </c>
      <c r="G201" s="158">
        <v>860</v>
      </c>
      <c r="H201" s="158">
        <v>6900</v>
      </c>
      <c r="I201" s="158">
        <v>5934000</v>
      </c>
      <c r="J201" s="158">
        <v>5000</v>
      </c>
      <c r="K201" s="158">
        <v>4300000</v>
      </c>
      <c r="L201" s="158">
        <v>1634000</v>
      </c>
      <c r="M201" s="159">
        <v>0.27536231884057999</v>
      </c>
      <c r="N201" s="157" t="s">
        <v>321</v>
      </c>
    </row>
    <row r="202" spans="1:14">
      <c r="A202" s="156">
        <v>201</v>
      </c>
      <c r="B202" s="157" t="s">
        <v>441</v>
      </c>
      <c r="C202" s="156">
        <v>17</v>
      </c>
      <c r="D202" s="157" t="s">
        <v>55</v>
      </c>
      <c r="E202" s="156">
        <v>6</v>
      </c>
      <c r="F202" s="157" t="s">
        <v>7</v>
      </c>
      <c r="G202" s="158">
        <v>10</v>
      </c>
      <c r="H202" s="158">
        <v>50000</v>
      </c>
      <c r="I202" s="158">
        <v>500000</v>
      </c>
      <c r="J202" s="158">
        <v>50000</v>
      </c>
      <c r="K202" s="158">
        <v>500000</v>
      </c>
      <c r="L202" s="158">
        <v>0</v>
      </c>
      <c r="M202" s="159">
        <v>0</v>
      </c>
      <c r="N202" s="157" t="s">
        <v>321</v>
      </c>
    </row>
    <row r="203" spans="1:14">
      <c r="A203" s="156">
        <v>202</v>
      </c>
      <c r="B203" s="157" t="s">
        <v>440</v>
      </c>
      <c r="C203" s="156">
        <v>16</v>
      </c>
      <c r="D203" s="157" t="s">
        <v>56</v>
      </c>
      <c r="E203" s="156">
        <v>1</v>
      </c>
      <c r="F203" s="157" t="s">
        <v>334</v>
      </c>
      <c r="G203" s="158">
        <v>8</v>
      </c>
      <c r="H203" s="158">
        <v>47836</v>
      </c>
      <c r="I203" s="158">
        <v>382691</v>
      </c>
      <c r="J203" s="158">
        <v>19137.272727272699</v>
      </c>
      <c r="K203" s="158">
        <v>153098.181818182</v>
      </c>
      <c r="L203" s="158">
        <v>229592.818181818</v>
      </c>
      <c r="M203" s="159">
        <v>0.59994308249166595</v>
      </c>
      <c r="N203" s="157" t="s">
        <v>321</v>
      </c>
    </row>
    <row r="204" spans="1:14">
      <c r="A204" s="156">
        <v>203</v>
      </c>
      <c r="B204" s="157" t="s">
        <v>440</v>
      </c>
      <c r="C204" s="156">
        <v>16</v>
      </c>
      <c r="D204" s="157" t="s">
        <v>56</v>
      </c>
      <c r="E204" s="156">
        <v>60</v>
      </c>
      <c r="F204" s="157" t="s">
        <v>345</v>
      </c>
      <c r="G204" s="158">
        <v>2</v>
      </c>
      <c r="H204" s="158">
        <v>25740</v>
      </c>
      <c r="I204" s="158">
        <v>51480</v>
      </c>
      <c r="J204" s="158">
        <v>19820</v>
      </c>
      <c r="K204" s="158">
        <v>39640</v>
      </c>
      <c r="L204" s="158">
        <v>11840</v>
      </c>
      <c r="M204" s="159">
        <v>0.22999222999223001</v>
      </c>
      <c r="N204" s="157" t="s">
        <v>321</v>
      </c>
    </row>
    <row r="205" spans="1:14">
      <c r="A205" s="156">
        <v>204</v>
      </c>
      <c r="B205" s="157" t="s">
        <v>440</v>
      </c>
      <c r="C205" s="156">
        <v>16</v>
      </c>
      <c r="D205" s="157" t="s">
        <v>56</v>
      </c>
      <c r="E205" s="156">
        <v>135</v>
      </c>
      <c r="F205" s="157" t="s">
        <v>420</v>
      </c>
      <c r="G205" s="158">
        <v>90</v>
      </c>
      <c r="H205" s="158">
        <v>8194</v>
      </c>
      <c r="I205" s="158">
        <v>737427</v>
      </c>
      <c r="J205" s="158">
        <v>6637</v>
      </c>
      <c r="K205" s="158">
        <v>597330</v>
      </c>
      <c r="L205" s="158">
        <v>140097</v>
      </c>
      <c r="M205" s="159">
        <v>0.18998083878133001</v>
      </c>
      <c r="N205" s="157" t="s">
        <v>321</v>
      </c>
    </row>
    <row r="206" spans="1:14">
      <c r="A206" s="156">
        <v>205</v>
      </c>
      <c r="B206" s="157" t="s">
        <v>440</v>
      </c>
      <c r="C206" s="156">
        <v>16</v>
      </c>
      <c r="D206" s="157" t="s">
        <v>56</v>
      </c>
      <c r="E206" s="156">
        <v>132</v>
      </c>
      <c r="F206" s="157" t="s">
        <v>417</v>
      </c>
      <c r="G206" s="158">
        <v>90</v>
      </c>
      <c r="H206" s="158">
        <v>7570</v>
      </c>
      <c r="I206" s="158">
        <v>681300</v>
      </c>
      <c r="J206" s="158">
        <v>6132</v>
      </c>
      <c r="K206" s="158">
        <v>551880</v>
      </c>
      <c r="L206" s="158">
        <v>129420</v>
      </c>
      <c r="M206" s="159">
        <v>0.18996036988111001</v>
      </c>
      <c r="N206" s="157" t="s">
        <v>321</v>
      </c>
    </row>
    <row r="207" spans="1:14">
      <c r="A207" s="156">
        <v>206</v>
      </c>
      <c r="B207" s="157" t="s">
        <v>441</v>
      </c>
      <c r="C207" s="156">
        <v>16</v>
      </c>
      <c r="D207" s="157" t="s">
        <v>56</v>
      </c>
      <c r="E207" s="156">
        <v>82</v>
      </c>
      <c r="F207" s="157" t="s">
        <v>367</v>
      </c>
      <c r="G207" s="158">
        <v>9</v>
      </c>
      <c r="H207" s="158">
        <v>262727</v>
      </c>
      <c r="I207" s="158">
        <v>2364545</v>
      </c>
      <c r="J207" s="158">
        <v>240181.818181818</v>
      </c>
      <c r="K207" s="158">
        <v>2161636.36363636</v>
      </c>
      <c r="L207" s="158">
        <v>202908.636363636</v>
      </c>
      <c r="M207" s="159">
        <v>8.5812973051321198E-2</v>
      </c>
      <c r="N207" s="157" t="s">
        <v>321</v>
      </c>
    </row>
    <row r="208" spans="1:14">
      <c r="A208" s="156">
        <v>207</v>
      </c>
      <c r="B208" s="157" t="s">
        <v>441</v>
      </c>
      <c r="C208" s="156">
        <v>16</v>
      </c>
      <c r="D208" s="157" t="s">
        <v>56</v>
      </c>
      <c r="E208" s="156">
        <v>135</v>
      </c>
      <c r="F208" s="157" t="s">
        <v>420</v>
      </c>
      <c r="G208" s="158">
        <v>100</v>
      </c>
      <c r="H208" s="158">
        <v>8194</v>
      </c>
      <c r="I208" s="158">
        <v>819364</v>
      </c>
      <c r="J208" s="158">
        <v>6637</v>
      </c>
      <c r="K208" s="158">
        <v>663700</v>
      </c>
      <c r="L208" s="158">
        <v>155664</v>
      </c>
      <c r="M208" s="159">
        <v>0.18998149784467</v>
      </c>
      <c r="N208" s="157" t="s">
        <v>321</v>
      </c>
    </row>
    <row r="209" spans="1:14">
      <c r="A209" s="156">
        <v>208</v>
      </c>
      <c r="B209" s="157" t="s">
        <v>441</v>
      </c>
      <c r="C209" s="156">
        <v>16</v>
      </c>
      <c r="D209" s="157" t="s">
        <v>56</v>
      </c>
      <c r="E209" s="156">
        <v>132</v>
      </c>
      <c r="F209" s="157" t="s">
        <v>417</v>
      </c>
      <c r="G209" s="158">
        <v>100</v>
      </c>
      <c r="H209" s="158">
        <v>7570</v>
      </c>
      <c r="I209" s="158">
        <v>757000</v>
      </c>
      <c r="J209" s="158">
        <v>6132</v>
      </c>
      <c r="K209" s="158">
        <v>613200</v>
      </c>
      <c r="L209" s="158">
        <v>143800</v>
      </c>
      <c r="M209" s="159">
        <v>0.18996036988111001</v>
      </c>
      <c r="N209" s="157" t="s">
        <v>321</v>
      </c>
    </row>
    <row r="210" spans="1:14">
      <c r="A210" s="156">
        <v>209</v>
      </c>
      <c r="B210" s="157" t="s">
        <v>440</v>
      </c>
      <c r="C210" s="156">
        <v>31</v>
      </c>
      <c r="D210" s="157" t="s">
        <v>57</v>
      </c>
      <c r="E210" s="156">
        <v>11</v>
      </c>
      <c r="F210" s="157" t="s">
        <v>12</v>
      </c>
      <c r="G210" s="158">
        <v>2250</v>
      </c>
      <c r="H210" s="158">
        <v>500</v>
      </c>
      <c r="I210" s="158">
        <v>1125000</v>
      </c>
      <c r="J210" s="158">
        <v>435</v>
      </c>
      <c r="K210" s="158">
        <v>978750</v>
      </c>
      <c r="L210" s="158">
        <v>146250</v>
      </c>
      <c r="M210" s="159">
        <v>0.13</v>
      </c>
      <c r="N210" s="157" t="s">
        <v>321</v>
      </c>
    </row>
    <row r="211" spans="1:14">
      <c r="A211" s="156">
        <v>210</v>
      </c>
      <c r="B211" s="157" t="s">
        <v>440</v>
      </c>
      <c r="C211" s="156">
        <v>31</v>
      </c>
      <c r="D211" s="157" t="s">
        <v>57</v>
      </c>
      <c r="E211" s="156">
        <v>13</v>
      </c>
      <c r="F211" s="157" t="s">
        <v>3</v>
      </c>
      <c r="G211" s="158">
        <v>960</v>
      </c>
      <c r="H211" s="158">
        <v>5300</v>
      </c>
      <c r="I211" s="158">
        <v>5088000</v>
      </c>
      <c r="J211" s="158">
        <v>4200</v>
      </c>
      <c r="K211" s="158">
        <v>4032000</v>
      </c>
      <c r="L211" s="158">
        <v>1056000</v>
      </c>
      <c r="M211" s="159">
        <v>0.20754716981132099</v>
      </c>
      <c r="N211" s="157" t="s">
        <v>321</v>
      </c>
    </row>
    <row r="212" spans="1:14">
      <c r="A212" s="156">
        <v>211</v>
      </c>
      <c r="B212" s="157" t="s">
        <v>440</v>
      </c>
      <c r="C212" s="156">
        <v>31</v>
      </c>
      <c r="D212" s="157" t="s">
        <v>57</v>
      </c>
      <c r="E212" s="156">
        <v>47</v>
      </c>
      <c r="F212" s="157" t="s">
        <v>4</v>
      </c>
      <c r="G212" s="158">
        <v>420</v>
      </c>
      <c r="H212" s="158">
        <v>11500</v>
      </c>
      <c r="I212" s="158">
        <v>4830000</v>
      </c>
      <c r="J212" s="158">
        <v>11200</v>
      </c>
      <c r="K212" s="158">
        <v>4704000</v>
      </c>
      <c r="L212" s="158">
        <v>126000</v>
      </c>
      <c r="M212" s="159">
        <v>2.6086956521739101E-2</v>
      </c>
      <c r="N212" s="157" t="s">
        <v>321</v>
      </c>
    </row>
    <row r="213" spans="1:14">
      <c r="A213" s="156">
        <v>212</v>
      </c>
      <c r="B213" s="157" t="s">
        <v>440</v>
      </c>
      <c r="C213" s="156">
        <v>31</v>
      </c>
      <c r="D213" s="157" t="s">
        <v>57</v>
      </c>
      <c r="E213" s="156">
        <v>24</v>
      </c>
      <c r="F213" s="157" t="s">
        <v>6</v>
      </c>
      <c r="G213" s="158">
        <v>24</v>
      </c>
      <c r="H213" s="158">
        <v>60000</v>
      </c>
      <c r="I213" s="158">
        <v>1440000</v>
      </c>
      <c r="J213" s="158">
        <v>55000</v>
      </c>
      <c r="K213" s="158">
        <v>1320000</v>
      </c>
      <c r="L213" s="158">
        <v>120000</v>
      </c>
      <c r="M213" s="159">
        <v>8.3333333333333301E-2</v>
      </c>
      <c r="N213" s="157" t="s">
        <v>321</v>
      </c>
    </row>
    <row r="214" spans="1:14">
      <c r="A214" s="156">
        <v>213</v>
      </c>
      <c r="B214" s="157" t="s">
        <v>440</v>
      </c>
      <c r="C214" s="156">
        <v>31</v>
      </c>
      <c r="D214" s="157" t="s">
        <v>57</v>
      </c>
      <c r="E214" s="156">
        <v>123</v>
      </c>
      <c r="F214" s="157" t="s">
        <v>408</v>
      </c>
      <c r="G214" s="158">
        <v>18</v>
      </c>
      <c r="H214" s="158">
        <v>25000</v>
      </c>
      <c r="I214" s="158">
        <v>450000</v>
      </c>
      <c r="J214" s="158">
        <v>16000</v>
      </c>
      <c r="K214" s="158">
        <v>288000</v>
      </c>
      <c r="L214" s="158">
        <v>162000</v>
      </c>
      <c r="M214" s="159">
        <v>0.36</v>
      </c>
      <c r="N214" s="157" t="s">
        <v>321</v>
      </c>
    </row>
    <row r="215" spans="1:14">
      <c r="A215" s="156">
        <v>214</v>
      </c>
      <c r="B215" s="157" t="s">
        <v>440</v>
      </c>
      <c r="C215" s="156">
        <v>31</v>
      </c>
      <c r="D215" s="157" t="s">
        <v>57</v>
      </c>
      <c r="E215" s="156">
        <v>131</v>
      </c>
      <c r="F215" s="157" t="s">
        <v>416</v>
      </c>
      <c r="G215" s="158">
        <v>615</v>
      </c>
      <c r="H215" s="158">
        <v>11475</v>
      </c>
      <c r="I215" s="158">
        <v>7057405</v>
      </c>
      <c r="J215" s="158">
        <v>9295</v>
      </c>
      <c r="K215" s="158">
        <v>5716425</v>
      </c>
      <c r="L215" s="158">
        <v>1340980</v>
      </c>
      <c r="M215" s="159">
        <v>0.19001035083008599</v>
      </c>
      <c r="N215" s="157" t="s">
        <v>321</v>
      </c>
    </row>
    <row r="216" spans="1:14">
      <c r="A216" s="156">
        <v>215</v>
      </c>
      <c r="B216" s="157" t="s">
        <v>440</v>
      </c>
      <c r="C216" s="156">
        <v>31</v>
      </c>
      <c r="D216" s="157" t="s">
        <v>57</v>
      </c>
      <c r="E216" s="156">
        <v>134</v>
      </c>
      <c r="F216" s="157" t="s">
        <v>419</v>
      </c>
      <c r="G216" s="158">
        <v>615</v>
      </c>
      <c r="H216" s="158">
        <v>11023</v>
      </c>
      <c r="I216" s="158">
        <v>6778977</v>
      </c>
      <c r="J216" s="158">
        <v>8928</v>
      </c>
      <c r="K216" s="158">
        <v>5490720</v>
      </c>
      <c r="L216" s="158">
        <v>1288257</v>
      </c>
      <c r="M216" s="159">
        <v>0.19003708081617601</v>
      </c>
      <c r="N216" s="157" t="s">
        <v>321</v>
      </c>
    </row>
    <row r="217" spans="1:14">
      <c r="A217" s="156">
        <v>216</v>
      </c>
      <c r="B217" s="157" t="s">
        <v>440</v>
      </c>
      <c r="C217" s="156">
        <v>31</v>
      </c>
      <c r="D217" s="157" t="s">
        <v>57</v>
      </c>
      <c r="E217" s="156">
        <v>139</v>
      </c>
      <c r="F217" s="157" t="s">
        <v>424</v>
      </c>
      <c r="G217" s="158">
        <v>72</v>
      </c>
      <c r="H217" s="158">
        <v>14000</v>
      </c>
      <c r="I217" s="158">
        <v>1008000</v>
      </c>
      <c r="J217" s="158">
        <v>13500</v>
      </c>
      <c r="K217" s="158">
        <v>972000</v>
      </c>
      <c r="L217" s="158">
        <v>36000</v>
      </c>
      <c r="M217" s="159">
        <v>3.5714285714285698E-2</v>
      </c>
      <c r="N217" s="157" t="s">
        <v>321</v>
      </c>
    </row>
    <row r="218" spans="1:14">
      <c r="A218" s="156">
        <v>217</v>
      </c>
      <c r="B218" s="157" t="s">
        <v>440</v>
      </c>
      <c r="C218" s="156">
        <v>31</v>
      </c>
      <c r="D218" s="157" t="s">
        <v>57</v>
      </c>
      <c r="E218" s="156">
        <v>140</v>
      </c>
      <c r="F218" s="157" t="s">
        <v>425</v>
      </c>
      <c r="G218" s="158">
        <v>408</v>
      </c>
      <c r="H218" s="158">
        <v>14000</v>
      </c>
      <c r="I218" s="158">
        <v>5712000</v>
      </c>
      <c r="J218" s="158">
        <v>13500</v>
      </c>
      <c r="K218" s="158">
        <v>5508000</v>
      </c>
      <c r="L218" s="158">
        <v>204000</v>
      </c>
      <c r="M218" s="159">
        <v>3.5714285714285698E-2</v>
      </c>
      <c r="N218" s="157" t="s">
        <v>321</v>
      </c>
    </row>
    <row r="219" spans="1:14">
      <c r="A219" s="156">
        <v>218</v>
      </c>
      <c r="B219" s="157" t="s">
        <v>440</v>
      </c>
      <c r="C219" s="156">
        <v>31</v>
      </c>
      <c r="D219" s="157" t="s">
        <v>57</v>
      </c>
      <c r="E219" s="156">
        <v>141</v>
      </c>
      <c r="F219" s="157" t="s">
        <v>426</v>
      </c>
      <c r="G219" s="158">
        <v>144</v>
      </c>
      <c r="H219" s="158">
        <v>14000</v>
      </c>
      <c r="I219" s="158">
        <v>2016000</v>
      </c>
      <c r="J219" s="158">
        <v>13500</v>
      </c>
      <c r="K219" s="158">
        <v>1944000</v>
      </c>
      <c r="L219" s="158">
        <v>72000</v>
      </c>
      <c r="M219" s="159">
        <v>3.5714285714285698E-2</v>
      </c>
      <c r="N219" s="157" t="s">
        <v>321</v>
      </c>
    </row>
    <row r="220" spans="1:14">
      <c r="A220" s="156">
        <v>219</v>
      </c>
      <c r="B220" s="157" t="s">
        <v>440</v>
      </c>
      <c r="C220" s="156">
        <v>31</v>
      </c>
      <c r="D220" s="157" t="s">
        <v>57</v>
      </c>
      <c r="E220" s="156">
        <v>31</v>
      </c>
      <c r="F220" s="157" t="s">
        <v>54</v>
      </c>
      <c r="G220" s="158">
        <v>120</v>
      </c>
      <c r="H220" s="158">
        <v>14000</v>
      </c>
      <c r="I220" s="158">
        <v>1680000</v>
      </c>
      <c r="J220" s="158">
        <v>14300</v>
      </c>
      <c r="K220" s="158">
        <v>1716000</v>
      </c>
      <c r="L220" s="158">
        <v>-36000</v>
      </c>
      <c r="M220" s="159">
        <v>-2.1428571428571401E-2</v>
      </c>
      <c r="N220" s="157" t="s">
        <v>321</v>
      </c>
    </row>
    <row r="221" spans="1:14">
      <c r="A221" s="156">
        <v>220</v>
      </c>
      <c r="B221" s="157" t="s">
        <v>440</v>
      </c>
      <c r="C221" s="156">
        <v>31</v>
      </c>
      <c r="D221" s="157" t="s">
        <v>57</v>
      </c>
      <c r="E221" s="156">
        <v>142</v>
      </c>
      <c r="F221" s="157" t="s">
        <v>427</v>
      </c>
      <c r="G221" s="158">
        <v>288</v>
      </c>
      <c r="H221" s="158">
        <v>6400</v>
      </c>
      <c r="I221" s="158">
        <v>1843200</v>
      </c>
      <c r="J221" s="158">
        <v>6000</v>
      </c>
      <c r="K221" s="158">
        <v>1728000</v>
      </c>
      <c r="L221" s="158">
        <v>115200</v>
      </c>
      <c r="M221" s="159">
        <v>6.25E-2</v>
      </c>
      <c r="N221" s="157" t="s">
        <v>321</v>
      </c>
    </row>
    <row r="222" spans="1:14">
      <c r="A222" s="156">
        <v>221</v>
      </c>
      <c r="B222" s="157" t="s">
        <v>440</v>
      </c>
      <c r="C222" s="156">
        <v>31</v>
      </c>
      <c r="D222" s="157" t="s">
        <v>57</v>
      </c>
      <c r="E222" s="156">
        <v>143</v>
      </c>
      <c r="F222" s="157" t="s">
        <v>428</v>
      </c>
      <c r="G222" s="158">
        <v>96</v>
      </c>
      <c r="H222" s="158">
        <v>6400</v>
      </c>
      <c r="I222" s="158">
        <v>614400</v>
      </c>
      <c r="J222" s="158">
        <v>6000</v>
      </c>
      <c r="K222" s="158">
        <v>576000</v>
      </c>
      <c r="L222" s="158">
        <v>38400</v>
      </c>
      <c r="M222" s="159">
        <v>6.25E-2</v>
      </c>
      <c r="N222" s="157" t="s">
        <v>321</v>
      </c>
    </row>
    <row r="223" spans="1:14">
      <c r="A223" s="156">
        <v>222</v>
      </c>
      <c r="B223" s="157" t="s">
        <v>440</v>
      </c>
      <c r="C223" s="156">
        <v>31</v>
      </c>
      <c r="D223" s="157" t="s">
        <v>57</v>
      </c>
      <c r="E223" s="156">
        <v>145</v>
      </c>
      <c r="F223" s="157" t="s">
        <v>430</v>
      </c>
      <c r="G223" s="158">
        <v>96</v>
      </c>
      <c r="H223" s="158">
        <v>2000</v>
      </c>
      <c r="I223" s="158">
        <v>192000</v>
      </c>
      <c r="J223" s="158">
        <v>2000</v>
      </c>
      <c r="K223" s="158">
        <v>192000</v>
      </c>
      <c r="L223" s="158">
        <v>0</v>
      </c>
      <c r="M223" s="159">
        <v>0</v>
      </c>
      <c r="N223" s="157" t="s">
        <v>321</v>
      </c>
    </row>
    <row r="224" spans="1:14">
      <c r="A224" s="156">
        <v>223</v>
      </c>
      <c r="B224" s="157" t="s">
        <v>440</v>
      </c>
      <c r="C224" s="156">
        <v>31</v>
      </c>
      <c r="D224" s="157" t="s">
        <v>57</v>
      </c>
      <c r="E224" s="156">
        <v>34</v>
      </c>
      <c r="F224" s="157" t="s">
        <v>41</v>
      </c>
      <c r="G224" s="158">
        <v>48</v>
      </c>
      <c r="H224" s="158">
        <v>14300</v>
      </c>
      <c r="I224" s="158">
        <v>686400</v>
      </c>
      <c r="J224" s="158">
        <v>10000</v>
      </c>
      <c r="K224" s="158">
        <v>480000</v>
      </c>
      <c r="L224" s="158">
        <v>206400</v>
      </c>
      <c r="M224" s="159">
        <v>0.30069930069930101</v>
      </c>
      <c r="N224" s="157" t="s">
        <v>321</v>
      </c>
    </row>
    <row r="225" spans="1:14">
      <c r="A225" s="156">
        <v>224</v>
      </c>
      <c r="B225" s="157" t="s">
        <v>441</v>
      </c>
      <c r="C225" s="156">
        <v>31</v>
      </c>
      <c r="D225" s="157" t="s">
        <v>57</v>
      </c>
      <c r="E225" s="156">
        <v>11</v>
      </c>
      <c r="F225" s="157" t="s">
        <v>12</v>
      </c>
      <c r="G225" s="158">
        <v>2550</v>
      </c>
      <c r="H225" s="158">
        <v>500</v>
      </c>
      <c r="I225" s="158">
        <v>1275000</v>
      </c>
      <c r="J225" s="158">
        <v>435</v>
      </c>
      <c r="K225" s="158">
        <v>1109250</v>
      </c>
      <c r="L225" s="158">
        <v>165750</v>
      </c>
      <c r="M225" s="159">
        <v>0.13</v>
      </c>
      <c r="N225" s="157" t="s">
        <v>321</v>
      </c>
    </row>
    <row r="226" spans="1:14">
      <c r="A226" s="156">
        <v>225</v>
      </c>
      <c r="B226" s="157" t="s">
        <v>441</v>
      </c>
      <c r="C226" s="156">
        <v>31</v>
      </c>
      <c r="D226" s="157" t="s">
        <v>57</v>
      </c>
      <c r="E226" s="156">
        <v>12</v>
      </c>
      <c r="F226" s="157" t="s">
        <v>52</v>
      </c>
      <c r="G226" s="158">
        <v>150</v>
      </c>
      <c r="H226" s="158">
        <v>500</v>
      </c>
      <c r="I226" s="158">
        <v>75000</v>
      </c>
      <c r="J226" s="158">
        <v>435</v>
      </c>
      <c r="K226" s="158">
        <v>65250</v>
      </c>
      <c r="L226" s="158">
        <v>9750</v>
      </c>
      <c r="M226" s="159">
        <v>0.13</v>
      </c>
      <c r="N226" s="157" t="s">
        <v>321</v>
      </c>
    </row>
    <row r="227" spans="1:14">
      <c r="A227" s="156">
        <v>226</v>
      </c>
      <c r="B227" s="157" t="s">
        <v>441</v>
      </c>
      <c r="C227" s="156">
        <v>31</v>
      </c>
      <c r="D227" s="157" t="s">
        <v>57</v>
      </c>
      <c r="E227" s="156">
        <v>13</v>
      </c>
      <c r="F227" s="157" t="s">
        <v>3</v>
      </c>
      <c r="G227" s="158">
        <v>984</v>
      </c>
      <c r="H227" s="158">
        <v>5300</v>
      </c>
      <c r="I227" s="158">
        <v>5215200</v>
      </c>
      <c r="J227" s="158">
        <v>4200</v>
      </c>
      <c r="K227" s="158">
        <v>4132800</v>
      </c>
      <c r="L227" s="158">
        <v>1082400</v>
      </c>
      <c r="M227" s="159">
        <v>0.20754716981132099</v>
      </c>
      <c r="N227" s="157" t="s">
        <v>321</v>
      </c>
    </row>
    <row r="228" spans="1:14">
      <c r="A228" s="156">
        <v>227</v>
      </c>
      <c r="B228" s="157" t="s">
        <v>441</v>
      </c>
      <c r="C228" s="156">
        <v>31</v>
      </c>
      <c r="D228" s="157" t="s">
        <v>57</v>
      </c>
      <c r="E228" s="156">
        <v>47</v>
      </c>
      <c r="F228" s="157" t="s">
        <v>4</v>
      </c>
      <c r="G228" s="158">
        <v>600</v>
      </c>
      <c r="H228" s="158">
        <v>11500</v>
      </c>
      <c r="I228" s="158">
        <v>6900000</v>
      </c>
      <c r="J228" s="158">
        <v>11200</v>
      </c>
      <c r="K228" s="158">
        <v>6720000</v>
      </c>
      <c r="L228" s="158">
        <v>180000</v>
      </c>
      <c r="M228" s="159">
        <v>2.6086956521739101E-2</v>
      </c>
      <c r="N228" s="157" t="s">
        <v>321</v>
      </c>
    </row>
    <row r="229" spans="1:14">
      <c r="A229" s="156">
        <v>228</v>
      </c>
      <c r="B229" s="157" t="s">
        <v>441</v>
      </c>
      <c r="C229" s="156">
        <v>31</v>
      </c>
      <c r="D229" s="157" t="s">
        <v>57</v>
      </c>
      <c r="E229" s="156">
        <v>123</v>
      </c>
      <c r="F229" s="157" t="s">
        <v>408</v>
      </c>
      <c r="G229" s="158">
        <v>18</v>
      </c>
      <c r="H229" s="158">
        <v>25000</v>
      </c>
      <c r="I229" s="158">
        <v>450000</v>
      </c>
      <c r="J229" s="158">
        <v>16000</v>
      </c>
      <c r="K229" s="158">
        <v>288000</v>
      </c>
      <c r="L229" s="158">
        <v>162000</v>
      </c>
      <c r="M229" s="159">
        <v>0.36</v>
      </c>
      <c r="N229" s="157" t="s">
        <v>321</v>
      </c>
    </row>
    <row r="230" spans="1:14">
      <c r="A230" s="156">
        <v>229</v>
      </c>
      <c r="B230" s="157" t="s">
        <v>441</v>
      </c>
      <c r="C230" s="156">
        <v>31</v>
      </c>
      <c r="D230" s="157" t="s">
        <v>57</v>
      </c>
      <c r="E230" s="156">
        <v>131</v>
      </c>
      <c r="F230" s="157" t="s">
        <v>416</v>
      </c>
      <c r="G230" s="158">
        <v>620</v>
      </c>
      <c r="H230" s="158">
        <v>11475</v>
      </c>
      <c r="I230" s="158">
        <v>7114782</v>
      </c>
      <c r="J230" s="158">
        <v>9295</v>
      </c>
      <c r="K230" s="158">
        <v>5762900</v>
      </c>
      <c r="L230" s="158">
        <v>1351882</v>
      </c>
      <c r="M230" s="159">
        <v>0.19001031936045301</v>
      </c>
      <c r="N230" s="157" t="s">
        <v>321</v>
      </c>
    </row>
    <row r="231" spans="1:14">
      <c r="A231" s="156">
        <v>230</v>
      </c>
      <c r="B231" s="157" t="s">
        <v>441</v>
      </c>
      <c r="C231" s="156">
        <v>31</v>
      </c>
      <c r="D231" s="157" t="s">
        <v>57</v>
      </c>
      <c r="E231" s="156">
        <v>134</v>
      </c>
      <c r="F231" s="157" t="s">
        <v>419</v>
      </c>
      <c r="G231" s="158">
        <v>620</v>
      </c>
      <c r="H231" s="158">
        <v>11023</v>
      </c>
      <c r="I231" s="158">
        <v>6834091</v>
      </c>
      <c r="J231" s="158">
        <v>8928</v>
      </c>
      <c r="K231" s="158">
        <v>5535360</v>
      </c>
      <c r="L231" s="158">
        <v>1298731</v>
      </c>
      <c r="M231" s="159">
        <v>0.19003712417642701</v>
      </c>
      <c r="N231" s="157" t="s">
        <v>321</v>
      </c>
    </row>
    <row r="232" spans="1:14">
      <c r="A232" s="156">
        <v>231</v>
      </c>
      <c r="B232" s="157" t="s">
        <v>441</v>
      </c>
      <c r="C232" s="156">
        <v>31</v>
      </c>
      <c r="D232" s="157" t="s">
        <v>57</v>
      </c>
      <c r="E232" s="156">
        <v>139</v>
      </c>
      <c r="F232" s="157" t="s">
        <v>424</v>
      </c>
      <c r="G232" s="158">
        <v>96</v>
      </c>
      <c r="H232" s="158">
        <v>14000</v>
      </c>
      <c r="I232" s="158">
        <v>1344000</v>
      </c>
      <c r="J232" s="158">
        <v>13500</v>
      </c>
      <c r="K232" s="158">
        <v>1296000</v>
      </c>
      <c r="L232" s="158">
        <v>48000</v>
      </c>
      <c r="M232" s="159">
        <v>3.5714285714285698E-2</v>
      </c>
      <c r="N232" s="157" t="s">
        <v>321</v>
      </c>
    </row>
    <row r="233" spans="1:14">
      <c r="A233" s="156">
        <v>232</v>
      </c>
      <c r="B233" s="157" t="s">
        <v>441</v>
      </c>
      <c r="C233" s="156">
        <v>31</v>
      </c>
      <c r="D233" s="157" t="s">
        <v>57</v>
      </c>
      <c r="E233" s="156">
        <v>140</v>
      </c>
      <c r="F233" s="157" t="s">
        <v>425</v>
      </c>
      <c r="G233" s="158">
        <v>408</v>
      </c>
      <c r="H233" s="158">
        <v>14000</v>
      </c>
      <c r="I233" s="158">
        <v>5712000</v>
      </c>
      <c r="J233" s="158">
        <v>13500</v>
      </c>
      <c r="K233" s="158">
        <v>5508000</v>
      </c>
      <c r="L233" s="158">
        <v>204000</v>
      </c>
      <c r="M233" s="159">
        <v>3.5714285714285698E-2</v>
      </c>
      <c r="N233" s="157" t="s">
        <v>321</v>
      </c>
    </row>
    <row r="234" spans="1:14">
      <c r="A234" s="156">
        <v>233</v>
      </c>
      <c r="B234" s="157" t="s">
        <v>441</v>
      </c>
      <c r="C234" s="156">
        <v>31</v>
      </c>
      <c r="D234" s="157" t="s">
        <v>57</v>
      </c>
      <c r="E234" s="156">
        <v>141</v>
      </c>
      <c r="F234" s="157" t="s">
        <v>426</v>
      </c>
      <c r="G234" s="158">
        <v>216</v>
      </c>
      <c r="H234" s="158">
        <v>14000</v>
      </c>
      <c r="I234" s="158">
        <v>3024000</v>
      </c>
      <c r="J234" s="158">
        <v>13500</v>
      </c>
      <c r="K234" s="158">
        <v>2916000</v>
      </c>
      <c r="L234" s="158">
        <v>108000</v>
      </c>
      <c r="M234" s="159">
        <v>3.5714285714285698E-2</v>
      </c>
      <c r="N234" s="157" t="s">
        <v>321</v>
      </c>
    </row>
    <row r="235" spans="1:14">
      <c r="A235" s="156">
        <v>234</v>
      </c>
      <c r="B235" s="157" t="s">
        <v>441</v>
      </c>
      <c r="C235" s="156">
        <v>31</v>
      </c>
      <c r="D235" s="157" t="s">
        <v>57</v>
      </c>
      <c r="E235" s="156">
        <v>31</v>
      </c>
      <c r="F235" s="157" t="s">
        <v>54</v>
      </c>
      <c r="G235" s="158">
        <v>192</v>
      </c>
      <c r="H235" s="158">
        <v>14000</v>
      </c>
      <c r="I235" s="158">
        <v>2688000</v>
      </c>
      <c r="J235" s="158">
        <v>14300</v>
      </c>
      <c r="K235" s="158">
        <v>2745600</v>
      </c>
      <c r="L235" s="158">
        <v>-57600</v>
      </c>
      <c r="M235" s="159">
        <v>-2.1428571428571401E-2</v>
      </c>
      <c r="N235" s="157" t="s">
        <v>321</v>
      </c>
    </row>
    <row r="236" spans="1:14">
      <c r="A236" s="156">
        <v>235</v>
      </c>
      <c r="B236" s="157" t="s">
        <v>441</v>
      </c>
      <c r="C236" s="156">
        <v>31</v>
      </c>
      <c r="D236" s="157" t="s">
        <v>57</v>
      </c>
      <c r="E236" s="156">
        <v>142</v>
      </c>
      <c r="F236" s="157" t="s">
        <v>427</v>
      </c>
      <c r="G236" s="158">
        <v>408</v>
      </c>
      <c r="H236" s="158">
        <v>6400</v>
      </c>
      <c r="I236" s="158">
        <v>2611200</v>
      </c>
      <c r="J236" s="158">
        <v>6000</v>
      </c>
      <c r="K236" s="158">
        <v>2448000</v>
      </c>
      <c r="L236" s="158">
        <v>163200</v>
      </c>
      <c r="M236" s="159">
        <v>6.25E-2</v>
      </c>
      <c r="N236" s="157" t="s">
        <v>321</v>
      </c>
    </row>
    <row r="237" spans="1:14">
      <c r="A237" s="156">
        <v>236</v>
      </c>
      <c r="B237" s="157" t="s">
        <v>441</v>
      </c>
      <c r="C237" s="156">
        <v>31</v>
      </c>
      <c r="D237" s="157" t="s">
        <v>57</v>
      </c>
      <c r="E237" s="156">
        <v>143</v>
      </c>
      <c r="F237" s="157" t="s">
        <v>428</v>
      </c>
      <c r="G237" s="158">
        <v>24</v>
      </c>
      <c r="H237" s="158">
        <v>6400</v>
      </c>
      <c r="I237" s="158">
        <v>153600</v>
      </c>
      <c r="J237" s="158">
        <v>6000</v>
      </c>
      <c r="K237" s="158">
        <v>144000</v>
      </c>
      <c r="L237" s="158">
        <v>9600</v>
      </c>
      <c r="M237" s="159">
        <v>6.25E-2</v>
      </c>
      <c r="N237" s="157" t="s">
        <v>321</v>
      </c>
    </row>
    <row r="238" spans="1:14">
      <c r="A238" s="156">
        <v>237</v>
      </c>
      <c r="B238" s="157" t="s">
        <v>441</v>
      </c>
      <c r="C238" s="156">
        <v>31</v>
      </c>
      <c r="D238" s="157" t="s">
        <v>57</v>
      </c>
      <c r="E238" s="156">
        <v>145</v>
      </c>
      <c r="F238" s="157" t="s">
        <v>430</v>
      </c>
      <c r="G238" s="158">
        <v>24</v>
      </c>
      <c r="H238" s="158">
        <v>2000</v>
      </c>
      <c r="I238" s="158">
        <v>48000</v>
      </c>
      <c r="J238" s="158">
        <v>2000</v>
      </c>
      <c r="K238" s="158">
        <v>48000</v>
      </c>
      <c r="L238" s="158">
        <v>0</v>
      </c>
      <c r="M238" s="159">
        <v>0</v>
      </c>
      <c r="N238" s="157" t="s">
        <v>321</v>
      </c>
    </row>
    <row r="239" spans="1:14">
      <c r="A239" s="156">
        <v>238</v>
      </c>
      <c r="B239" s="157" t="s">
        <v>441</v>
      </c>
      <c r="C239" s="156">
        <v>31</v>
      </c>
      <c r="D239" s="157" t="s">
        <v>57</v>
      </c>
      <c r="E239" s="156">
        <v>34</v>
      </c>
      <c r="F239" s="157" t="s">
        <v>41</v>
      </c>
      <c r="G239" s="158">
        <v>72</v>
      </c>
      <c r="H239" s="158">
        <v>14300</v>
      </c>
      <c r="I239" s="158">
        <v>1029600</v>
      </c>
      <c r="J239" s="158">
        <v>10000</v>
      </c>
      <c r="K239" s="158">
        <v>720000</v>
      </c>
      <c r="L239" s="158">
        <v>309600</v>
      </c>
      <c r="M239" s="159">
        <v>0.30069930069930101</v>
      </c>
      <c r="N239" s="157" t="s">
        <v>321</v>
      </c>
    </row>
    <row r="240" spans="1:14">
      <c r="A240" s="156">
        <v>239</v>
      </c>
      <c r="B240" s="157" t="s">
        <v>441</v>
      </c>
      <c r="C240" s="156">
        <v>31</v>
      </c>
      <c r="D240" s="157" t="s">
        <v>57</v>
      </c>
      <c r="E240" s="156">
        <v>137</v>
      </c>
      <c r="F240" s="157" t="s">
        <v>422</v>
      </c>
      <c r="G240" s="158">
        <v>12</v>
      </c>
      <c r="H240" s="158">
        <v>32000</v>
      </c>
      <c r="I240" s="158">
        <v>384000</v>
      </c>
      <c r="J240" s="158">
        <v>25000</v>
      </c>
      <c r="K240" s="158">
        <v>300000</v>
      </c>
      <c r="L240" s="158">
        <v>84000</v>
      </c>
      <c r="M240" s="159">
        <v>0.21875</v>
      </c>
      <c r="N240" s="157" t="s">
        <v>321</v>
      </c>
    </row>
    <row r="241" spans="1:14">
      <c r="A241" s="156">
        <v>240</v>
      </c>
      <c r="B241" s="157" t="s">
        <v>440</v>
      </c>
      <c r="C241" s="156">
        <v>23</v>
      </c>
      <c r="D241" s="157" t="s">
        <v>62</v>
      </c>
      <c r="E241" s="156">
        <v>11</v>
      </c>
      <c r="F241" s="157" t="s">
        <v>12</v>
      </c>
      <c r="G241" s="158">
        <v>900</v>
      </c>
      <c r="H241" s="158">
        <v>500</v>
      </c>
      <c r="I241" s="158">
        <v>450000</v>
      </c>
      <c r="J241" s="158">
        <v>435</v>
      </c>
      <c r="K241" s="158">
        <v>391500</v>
      </c>
      <c r="L241" s="158">
        <v>58500</v>
      </c>
      <c r="M241" s="159">
        <v>0.13</v>
      </c>
      <c r="N241" s="157" t="s">
        <v>325</v>
      </c>
    </row>
    <row r="242" spans="1:14">
      <c r="A242" s="156">
        <v>241</v>
      </c>
      <c r="B242" s="157" t="s">
        <v>440</v>
      </c>
      <c r="C242" s="156">
        <v>23</v>
      </c>
      <c r="D242" s="157" t="s">
        <v>62</v>
      </c>
      <c r="E242" s="156">
        <v>12</v>
      </c>
      <c r="F242" s="157" t="s">
        <v>52</v>
      </c>
      <c r="G242" s="158">
        <v>300</v>
      </c>
      <c r="H242" s="158">
        <v>500</v>
      </c>
      <c r="I242" s="158">
        <v>150000</v>
      </c>
      <c r="J242" s="158">
        <v>435</v>
      </c>
      <c r="K242" s="158">
        <v>130500</v>
      </c>
      <c r="L242" s="158">
        <v>19500</v>
      </c>
      <c r="M242" s="159">
        <v>0.13</v>
      </c>
      <c r="N242" s="157" t="s">
        <v>325</v>
      </c>
    </row>
    <row r="243" spans="1:14">
      <c r="A243" s="156">
        <v>242</v>
      </c>
      <c r="B243" s="157" t="s">
        <v>440</v>
      </c>
      <c r="C243" s="156">
        <v>23</v>
      </c>
      <c r="D243" s="157" t="s">
        <v>62</v>
      </c>
      <c r="E243" s="156">
        <v>18</v>
      </c>
      <c r="F243" s="157" t="s">
        <v>28</v>
      </c>
      <c r="G243" s="158">
        <v>220</v>
      </c>
      <c r="H243" s="158">
        <v>13400</v>
      </c>
      <c r="I243" s="158">
        <v>2948000</v>
      </c>
      <c r="J243" s="158">
        <v>14500</v>
      </c>
      <c r="K243" s="158">
        <v>3190000</v>
      </c>
      <c r="L243" s="158">
        <v>-242000</v>
      </c>
      <c r="M243" s="159">
        <v>-8.2089552238805999E-2</v>
      </c>
      <c r="N243" s="157" t="s">
        <v>325</v>
      </c>
    </row>
    <row r="244" spans="1:14">
      <c r="A244" s="156">
        <v>243</v>
      </c>
      <c r="B244" s="157" t="s">
        <v>440</v>
      </c>
      <c r="C244" s="156">
        <v>23</v>
      </c>
      <c r="D244" s="157" t="s">
        <v>62</v>
      </c>
      <c r="E244" s="156">
        <v>20</v>
      </c>
      <c r="F244" s="157" t="s">
        <v>2</v>
      </c>
      <c r="G244" s="158">
        <v>220</v>
      </c>
      <c r="H244" s="158">
        <v>14400</v>
      </c>
      <c r="I244" s="158">
        <v>3168000</v>
      </c>
      <c r="J244" s="158">
        <v>14500</v>
      </c>
      <c r="K244" s="158">
        <v>3190000</v>
      </c>
      <c r="L244" s="158">
        <v>-22000</v>
      </c>
      <c r="M244" s="159">
        <v>-6.9444444444444397E-3</v>
      </c>
      <c r="N244" s="157" t="s">
        <v>325</v>
      </c>
    </row>
    <row r="245" spans="1:14">
      <c r="A245" s="156">
        <v>244</v>
      </c>
      <c r="B245" s="157" t="s">
        <v>440</v>
      </c>
      <c r="C245" s="156">
        <v>23</v>
      </c>
      <c r="D245" s="157" t="s">
        <v>62</v>
      </c>
      <c r="E245" s="156">
        <v>22</v>
      </c>
      <c r="F245" s="157" t="s">
        <v>10</v>
      </c>
      <c r="G245" s="158">
        <v>140</v>
      </c>
      <c r="H245" s="158">
        <v>15400</v>
      </c>
      <c r="I245" s="158">
        <v>2156000</v>
      </c>
      <c r="J245" s="158">
        <v>14500</v>
      </c>
      <c r="K245" s="158">
        <v>2030000</v>
      </c>
      <c r="L245" s="158">
        <v>126000</v>
      </c>
      <c r="M245" s="159">
        <v>5.8441558441558399E-2</v>
      </c>
      <c r="N245" s="157" t="s">
        <v>325</v>
      </c>
    </row>
    <row r="246" spans="1:14">
      <c r="A246" s="156">
        <v>245</v>
      </c>
      <c r="B246" s="157" t="s">
        <v>440</v>
      </c>
      <c r="C246" s="156">
        <v>23</v>
      </c>
      <c r="D246" s="157" t="s">
        <v>62</v>
      </c>
      <c r="E246" s="156">
        <v>23</v>
      </c>
      <c r="F246" s="157" t="s">
        <v>58</v>
      </c>
      <c r="G246" s="158">
        <v>40</v>
      </c>
      <c r="H246" s="158">
        <v>15000</v>
      </c>
      <c r="I246" s="158">
        <v>600000</v>
      </c>
      <c r="J246" s="158">
        <v>14500</v>
      </c>
      <c r="K246" s="158">
        <v>580000</v>
      </c>
      <c r="L246" s="158">
        <v>20000</v>
      </c>
      <c r="M246" s="159">
        <v>3.3333333333333298E-2</v>
      </c>
      <c r="N246" s="157" t="s">
        <v>325</v>
      </c>
    </row>
    <row r="247" spans="1:14">
      <c r="A247" s="156">
        <v>246</v>
      </c>
      <c r="B247" s="157" t="s">
        <v>440</v>
      </c>
      <c r="C247" s="156">
        <v>23</v>
      </c>
      <c r="D247" s="157" t="s">
        <v>62</v>
      </c>
      <c r="E247" s="156">
        <v>15</v>
      </c>
      <c r="F247" s="157" t="s">
        <v>29</v>
      </c>
      <c r="G247" s="158">
        <v>25</v>
      </c>
      <c r="H247" s="158">
        <v>7600</v>
      </c>
      <c r="I247" s="158">
        <v>190000</v>
      </c>
      <c r="J247" s="158">
        <v>6000</v>
      </c>
      <c r="K247" s="158">
        <v>150000</v>
      </c>
      <c r="L247" s="158">
        <v>40000</v>
      </c>
      <c r="M247" s="159">
        <v>0.21052631578947401</v>
      </c>
      <c r="N247" s="157" t="s">
        <v>325</v>
      </c>
    </row>
    <row r="248" spans="1:14">
      <c r="A248" s="156">
        <v>247</v>
      </c>
      <c r="B248" s="157" t="s">
        <v>440</v>
      </c>
      <c r="C248" s="156">
        <v>23</v>
      </c>
      <c r="D248" s="157" t="s">
        <v>62</v>
      </c>
      <c r="E248" s="156">
        <v>13</v>
      </c>
      <c r="F248" s="157" t="s">
        <v>3</v>
      </c>
      <c r="G248" s="158">
        <v>672</v>
      </c>
      <c r="H248" s="158">
        <v>6600</v>
      </c>
      <c r="I248" s="158">
        <v>4435200</v>
      </c>
      <c r="J248" s="158">
        <v>5000</v>
      </c>
      <c r="K248" s="158">
        <v>3360000</v>
      </c>
      <c r="L248" s="158">
        <v>1075200</v>
      </c>
      <c r="M248" s="159">
        <v>0.24242424242424199</v>
      </c>
      <c r="N248" s="157" t="s">
        <v>325</v>
      </c>
    </row>
    <row r="249" spans="1:14">
      <c r="A249" s="156">
        <v>248</v>
      </c>
      <c r="B249" s="157" t="s">
        <v>440</v>
      </c>
      <c r="C249" s="156">
        <v>23</v>
      </c>
      <c r="D249" s="157" t="s">
        <v>62</v>
      </c>
      <c r="E249" s="156">
        <v>50</v>
      </c>
      <c r="F249" s="157" t="s">
        <v>59</v>
      </c>
      <c r="G249" s="158">
        <v>100</v>
      </c>
      <c r="H249" s="158">
        <v>18400</v>
      </c>
      <c r="I249" s="158">
        <v>1840000</v>
      </c>
      <c r="J249" s="158">
        <v>15500</v>
      </c>
      <c r="K249" s="158">
        <v>1550000</v>
      </c>
      <c r="L249" s="158">
        <v>290000</v>
      </c>
      <c r="M249" s="159">
        <v>0.157608695652174</v>
      </c>
      <c r="N249" s="157" t="s">
        <v>325</v>
      </c>
    </row>
    <row r="250" spans="1:14">
      <c r="A250" s="156">
        <v>249</v>
      </c>
      <c r="B250" s="157" t="s">
        <v>440</v>
      </c>
      <c r="C250" s="156">
        <v>23</v>
      </c>
      <c r="D250" s="157" t="s">
        <v>62</v>
      </c>
      <c r="E250" s="156">
        <v>123</v>
      </c>
      <c r="F250" s="157" t="s">
        <v>408</v>
      </c>
      <c r="G250" s="158">
        <v>12</v>
      </c>
      <c r="H250" s="158">
        <v>28000</v>
      </c>
      <c r="I250" s="158">
        <v>336000</v>
      </c>
      <c r="J250" s="158">
        <v>16000</v>
      </c>
      <c r="K250" s="158">
        <v>192000</v>
      </c>
      <c r="L250" s="158">
        <v>144000</v>
      </c>
      <c r="M250" s="159">
        <v>0.42857142857142899</v>
      </c>
      <c r="N250" s="157" t="s">
        <v>325</v>
      </c>
    </row>
    <row r="251" spans="1:14">
      <c r="A251" s="156">
        <v>250</v>
      </c>
      <c r="B251" s="157" t="s">
        <v>440</v>
      </c>
      <c r="C251" s="156">
        <v>23</v>
      </c>
      <c r="D251" s="157" t="s">
        <v>62</v>
      </c>
      <c r="E251" s="156">
        <v>24</v>
      </c>
      <c r="F251" s="157" t="s">
        <v>6</v>
      </c>
      <c r="G251" s="158">
        <v>6</v>
      </c>
      <c r="H251" s="158">
        <v>68000</v>
      </c>
      <c r="I251" s="158">
        <v>408000</v>
      </c>
      <c r="J251" s="158">
        <v>55000</v>
      </c>
      <c r="K251" s="158">
        <v>330000</v>
      </c>
      <c r="L251" s="158">
        <v>78000</v>
      </c>
      <c r="M251" s="159">
        <v>0.191176470588235</v>
      </c>
      <c r="N251" s="157" t="s">
        <v>325</v>
      </c>
    </row>
    <row r="252" spans="1:14">
      <c r="A252" s="156">
        <v>251</v>
      </c>
      <c r="B252" s="157" t="s">
        <v>440</v>
      </c>
      <c r="C252" s="156">
        <v>23</v>
      </c>
      <c r="D252" s="157" t="s">
        <v>62</v>
      </c>
      <c r="E252" s="156">
        <v>34</v>
      </c>
      <c r="F252" s="157" t="s">
        <v>41</v>
      </c>
      <c r="G252" s="158">
        <v>48</v>
      </c>
      <c r="H252" s="158">
        <v>17000</v>
      </c>
      <c r="I252" s="158">
        <v>816000</v>
      </c>
      <c r="J252" s="158">
        <v>11500</v>
      </c>
      <c r="K252" s="158">
        <v>552000</v>
      </c>
      <c r="L252" s="158">
        <v>264000</v>
      </c>
      <c r="M252" s="159">
        <v>0.32352941176470601</v>
      </c>
      <c r="N252" s="157" t="s">
        <v>325</v>
      </c>
    </row>
    <row r="253" spans="1:14">
      <c r="A253" s="156">
        <v>252</v>
      </c>
      <c r="B253" s="157" t="s">
        <v>440</v>
      </c>
      <c r="C253" s="156">
        <v>23</v>
      </c>
      <c r="D253" s="157" t="s">
        <v>62</v>
      </c>
      <c r="E253" s="156">
        <v>42</v>
      </c>
      <c r="F253" s="157" t="s">
        <v>1</v>
      </c>
      <c r="G253" s="158">
        <v>750</v>
      </c>
      <c r="H253" s="158">
        <v>4964</v>
      </c>
      <c r="I253" s="158">
        <v>3722727</v>
      </c>
      <c r="J253" s="158">
        <v>3860</v>
      </c>
      <c r="K253" s="158">
        <v>2895000</v>
      </c>
      <c r="L253" s="158">
        <v>827727</v>
      </c>
      <c r="M253" s="159">
        <v>0.22234426537320601</v>
      </c>
      <c r="N253" s="157" t="s">
        <v>325</v>
      </c>
    </row>
    <row r="254" spans="1:14">
      <c r="A254" s="156">
        <v>253</v>
      </c>
      <c r="B254" s="157" t="s">
        <v>440</v>
      </c>
      <c r="C254" s="156">
        <v>23</v>
      </c>
      <c r="D254" s="157" t="s">
        <v>62</v>
      </c>
      <c r="E254" s="156">
        <v>135</v>
      </c>
      <c r="F254" s="157" t="s">
        <v>420</v>
      </c>
      <c r="G254" s="158">
        <v>710</v>
      </c>
      <c r="H254" s="158">
        <v>8194</v>
      </c>
      <c r="I254" s="158">
        <v>5817482</v>
      </c>
      <c r="J254" s="158">
        <v>6227</v>
      </c>
      <c r="K254" s="158">
        <v>4421170</v>
      </c>
      <c r="L254" s="158">
        <v>1396312</v>
      </c>
      <c r="M254" s="159">
        <v>0.240019994905012</v>
      </c>
      <c r="N254" s="157" t="s">
        <v>325</v>
      </c>
    </row>
    <row r="255" spans="1:14">
      <c r="A255" s="156">
        <v>254</v>
      </c>
      <c r="B255" s="157" t="s">
        <v>440</v>
      </c>
      <c r="C255" s="156">
        <v>23</v>
      </c>
      <c r="D255" s="157" t="s">
        <v>62</v>
      </c>
      <c r="E255" s="156">
        <v>77</v>
      </c>
      <c r="F255" s="157" t="s">
        <v>362</v>
      </c>
      <c r="G255" s="158">
        <v>20</v>
      </c>
      <c r="H255" s="158">
        <v>13213</v>
      </c>
      <c r="I255" s="158">
        <v>264255</v>
      </c>
      <c r="J255" s="158">
        <v>12618</v>
      </c>
      <c r="K255" s="158">
        <v>252360</v>
      </c>
      <c r="L255" s="158">
        <v>11895</v>
      </c>
      <c r="M255" s="159">
        <v>4.50133393880911E-2</v>
      </c>
      <c r="N255" s="157" t="s">
        <v>325</v>
      </c>
    </row>
    <row r="256" spans="1:14">
      <c r="A256" s="156">
        <v>255</v>
      </c>
      <c r="B256" s="157" t="s">
        <v>440</v>
      </c>
      <c r="C256" s="156">
        <v>23</v>
      </c>
      <c r="D256" s="157" t="s">
        <v>62</v>
      </c>
      <c r="E256" s="156">
        <v>75</v>
      </c>
      <c r="F256" s="157" t="s">
        <v>360</v>
      </c>
      <c r="G256" s="158">
        <v>80</v>
      </c>
      <c r="H256" s="158">
        <v>13330</v>
      </c>
      <c r="I256" s="158">
        <v>1066400</v>
      </c>
      <c r="J256" s="158">
        <v>12730</v>
      </c>
      <c r="K256" s="158">
        <v>1018400</v>
      </c>
      <c r="L256" s="158">
        <v>48000</v>
      </c>
      <c r="M256" s="159">
        <v>4.5011252813203298E-2</v>
      </c>
      <c r="N256" s="157" t="s">
        <v>325</v>
      </c>
    </row>
    <row r="257" spans="1:14">
      <c r="A257" s="156">
        <v>256</v>
      </c>
      <c r="B257" s="157" t="s">
        <v>440</v>
      </c>
      <c r="C257" s="156">
        <v>23</v>
      </c>
      <c r="D257" s="157" t="s">
        <v>62</v>
      </c>
      <c r="E257" s="156">
        <v>76</v>
      </c>
      <c r="F257" s="157" t="s">
        <v>361</v>
      </c>
      <c r="G257" s="158">
        <v>20</v>
      </c>
      <c r="H257" s="158">
        <v>13330</v>
      </c>
      <c r="I257" s="158">
        <v>266600</v>
      </c>
      <c r="J257" s="158">
        <v>12730</v>
      </c>
      <c r="K257" s="158">
        <v>254600</v>
      </c>
      <c r="L257" s="158">
        <v>12000</v>
      </c>
      <c r="M257" s="159">
        <v>4.5011252813203298E-2</v>
      </c>
      <c r="N257" s="157" t="s">
        <v>325</v>
      </c>
    </row>
    <row r="258" spans="1:14">
      <c r="A258" s="156">
        <v>257</v>
      </c>
      <c r="B258" s="157" t="s">
        <v>440</v>
      </c>
      <c r="C258" s="156">
        <v>23</v>
      </c>
      <c r="D258" s="157" t="s">
        <v>62</v>
      </c>
      <c r="E258" s="156">
        <v>51</v>
      </c>
      <c r="F258" s="157" t="s">
        <v>60</v>
      </c>
      <c r="G258" s="158">
        <v>5</v>
      </c>
      <c r="H258" s="158">
        <v>99555</v>
      </c>
      <c r="I258" s="158">
        <v>497773</v>
      </c>
      <c r="J258" s="158">
        <v>95075</v>
      </c>
      <c r="K258" s="158">
        <v>475375</v>
      </c>
      <c r="L258" s="158">
        <v>22398</v>
      </c>
      <c r="M258" s="159">
        <v>4.4996414028081098E-2</v>
      </c>
      <c r="N258" s="157" t="s">
        <v>325</v>
      </c>
    </row>
    <row r="259" spans="1:14">
      <c r="A259" s="156">
        <v>258</v>
      </c>
      <c r="B259" s="157" t="s">
        <v>441</v>
      </c>
      <c r="C259" s="156">
        <v>23</v>
      </c>
      <c r="D259" s="157" t="s">
        <v>62</v>
      </c>
      <c r="E259" s="156">
        <v>37</v>
      </c>
      <c r="F259" s="157" t="s">
        <v>61</v>
      </c>
      <c r="G259" s="158">
        <v>1</v>
      </c>
      <c r="H259" s="158">
        <v>26000000</v>
      </c>
      <c r="I259" s="158">
        <v>26000000</v>
      </c>
      <c r="J259" s="158">
        <v>20600000</v>
      </c>
      <c r="K259" s="158">
        <v>20600000</v>
      </c>
      <c r="L259" s="158">
        <v>5400000</v>
      </c>
      <c r="M259" s="159">
        <v>0.20769230769230801</v>
      </c>
      <c r="N259" s="157" t="s">
        <v>325</v>
      </c>
    </row>
    <row r="260" spans="1:14">
      <c r="A260" s="156">
        <v>259</v>
      </c>
      <c r="B260" s="157" t="s">
        <v>441</v>
      </c>
      <c r="C260" s="156">
        <v>23</v>
      </c>
      <c r="D260" s="157" t="s">
        <v>62</v>
      </c>
      <c r="E260" s="156">
        <v>51</v>
      </c>
      <c r="F260" s="157" t="s">
        <v>60</v>
      </c>
      <c r="G260" s="158">
        <v>5</v>
      </c>
      <c r="H260" s="158">
        <v>99555</v>
      </c>
      <c r="I260" s="158">
        <v>497773</v>
      </c>
      <c r="J260" s="158">
        <v>95075</v>
      </c>
      <c r="K260" s="158">
        <v>475375</v>
      </c>
      <c r="L260" s="158">
        <v>22398</v>
      </c>
      <c r="M260" s="159">
        <v>4.4996414028081098E-2</v>
      </c>
      <c r="N260" s="157" t="s">
        <v>325</v>
      </c>
    </row>
    <row r="261" spans="1:14">
      <c r="A261" s="156">
        <v>260</v>
      </c>
      <c r="B261" s="157" t="s">
        <v>441</v>
      </c>
      <c r="C261" s="156">
        <v>23</v>
      </c>
      <c r="D261" s="157" t="s">
        <v>62</v>
      </c>
      <c r="E261" s="156">
        <v>42</v>
      </c>
      <c r="F261" s="157" t="s">
        <v>1</v>
      </c>
      <c r="G261" s="158">
        <v>600</v>
      </c>
      <c r="H261" s="158">
        <v>4964</v>
      </c>
      <c r="I261" s="158">
        <v>2978182</v>
      </c>
      <c r="J261" s="158">
        <v>3860</v>
      </c>
      <c r="K261" s="158">
        <v>2316000</v>
      </c>
      <c r="L261" s="158">
        <v>662182</v>
      </c>
      <c r="M261" s="159">
        <v>0.222344369820246</v>
      </c>
      <c r="N261" s="157" t="s">
        <v>325</v>
      </c>
    </row>
    <row r="262" spans="1:14">
      <c r="A262" s="156">
        <v>261</v>
      </c>
      <c r="B262" s="157" t="s">
        <v>441</v>
      </c>
      <c r="C262" s="156">
        <v>23</v>
      </c>
      <c r="D262" s="157" t="s">
        <v>62</v>
      </c>
      <c r="E262" s="156">
        <v>135</v>
      </c>
      <c r="F262" s="157" t="s">
        <v>420</v>
      </c>
      <c r="G262" s="158">
        <v>440</v>
      </c>
      <c r="H262" s="158">
        <v>8194</v>
      </c>
      <c r="I262" s="158">
        <v>3605200</v>
      </c>
      <c r="J262" s="158">
        <v>6227</v>
      </c>
      <c r="K262" s="158">
        <v>2739880</v>
      </c>
      <c r="L262" s="158">
        <v>865320</v>
      </c>
      <c r="M262" s="159">
        <v>0.24001997115277901</v>
      </c>
      <c r="N262" s="157" t="s">
        <v>325</v>
      </c>
    </row>
    <row r="263" spans="1:14">
      <c r="A263" s="156">
        <v>262</v>
      </c>
      <c r="B263" s="157" t="s">
        <v>441</v>
      </c>
      <c r="C263" s="156">
        <v>23</v>
      </c>
      <c r="D263" s="157" t="s">
        <v>62</v>
      </c>
      <c r="E263" s="156">
        <v>11</v>
      </c>
      <c r="F263" s="157" t="s">
        <v>12</v>
      </c>
      <c r="G263" s="158">
        <v>900</v>
      </c>
      <c r="H263" s="158">
        <v>500</v>
      </c>
      <c r="I263" s="158">
        <v>450000</v>
      </c>
      <c r="J263" s="158">
        <v>435</v>
      </c>
      <c r="K263" s="158">
        <v>391500</v>
      </c>
      <c r="L263" s="158">
        <v>58500</v>
      </c>
      <c r="M263" s="159">
        <v>0.13</v>
      </c>
      <c r="N263" s="157" t="s">
        <v>325</v>
      </c>
    </row>
    <row r="264" spans="1:14">
      <c r="A264" s="156">
        <v>263</v>
      </c>
      <c r="B264" s="157" t="s">
        <v>441</v>
      </c>
      <c r="C264" s="156">
        <v>23</v>
      </c>
      <c r="D264" s="157" t="s">
        <v>62</v>
      </c>
      <c r="E264" s="156">
        <v>12</v>
      </c>
      <c r="F264" s="157" t="s">
        <v>52</v>
      </c>
      <c r="G264" s="158">
        <v>150</v>
      </c>
      <c r="H264" s="158">
        <v>500</v>
      </c>
      <c r="I264" s="158">
        <v>75000</v>
      </c>
      <c r="J264" s="158">
        <v>435</v>
      </c>
      <c r="K264" s="158">
        <v>65250</v>
      </c>
      <c r="L264" s="158">
        <v>9750</v>
      </c>
      <c r="M264" s="159">
        <v>0.13</v>
      </c>
      <c r="N264" s="157" t="s">
        <v>325</v>
      </c>
    </row>
    <row r="265" spans="1:14">
      <c r="A265" s="156">
        <v>264</v>
      </c>
      <c r="B265" s="157" t="s">
        <v>441</v>
      </c>
      <c r="C265" s="156">
        <v>23</v>
      </c>
      <c r="D265" s="157" t="s">
        <v>62</v>
      </c>
      <c r="E265" s="156">
        <v>18</v>
      </c>
      <c r="F265" s="157" t="s">
        <v>28</v>
      </c>
      <c r="G265" s="158">
        <v>140</v>
      </c>
      <c r="H265" s="158">
        <v>13400</v>
      </c>
      <c r="I265" s="158">
        <v>1876000</v>
      </c>
      <c r="J265" s="158">
        <v>14500</v>
      </c>
      <c r="K265" s="158">
        <v>2030000</v>
      </c>
      <c r="L265" s="158">
        <v>-154000</v>
      </c>
      <c r="M265" s="159">
        <v>-8.2089552238805999E-2</v>
      </c>
      <c r="N265" s="157" t="s">
        <v>325</v>
      </c>
    </row>
    <row r="266" spans="1:14">
      <c r="A266" s="156">
        <v>265</v>
      </c>
      <c r="B266" s="157" t="s">
        <v>441</v>
      </c>
      <c r="C266" s="156">
        <v>23</v>
      </c>
      <c r="D266" s="157" t="s">
        <v>62</v>
      </c>
      <c r="E266" s="156">
        <v>20</v>
      </c>
      <c r="F266" s="157" t="s">
        <v>2</v>
      </c>
      <c r="G266" s="158">
        <v>120</v>
      </c>
      <c r="H266" s="158">
        <v>14400</v>
      </c>
      <c r="I266" s="158">
        <v>1728000</v>
      </c>
      <c r="J266" s="158">
        <v>14500</v>
      </c>
      <c r="K266" s="158">
        <v>1740000</v>
      </c>
      <c r="L266" s="158">
        <v>-12000</v>
      </c>
      <c r="M266" s="159">
        <v>-6.9444444444444397E-3</v>
      </c>
      <c r="N266" s="157" t="s">
        <v>325</v>
      </c>
    </row>
    <row r="267" spans="1:14">
      <c r="A267" s="156">
        <v>266</v>
      </c>
      <c r="B267" s="157" t="s">
        <v>441</v>
      </c>
      <c r="C267" s="156">
        <v>23</v>
      </c>
      <c r="D267" s="157" t="s">
        <v>62</v>
      </c>
      <c r="E267" s="156">
        <v>22</v>
      </c>
      <c r="F267" s="157" t="s">
        <v>10</v>
      </c>
      <c r="G267" s="158">
        <v>80</v>
      </c>
      <c r="H267" s="158">
        <v>15400</v>
      </c>
      <c r="I267" s="158">
        <v>1232000</v>
      </c>
      <c r="J267" s="158">
        <v>14500</v>
      </c>
      <c r="K267" s="158">
        <v>1160000</v>
      </c>
      <c r="L267" s="158">
        <v>72000</v>
      </c>
      <c r="M267" s="159">
        <v>5.8441558441558399E-2</v>
      </c>
      <c r="N267" s="157" t="s">
        <v>325</v>
      </c>
    </row>
    <row r="268" spans="1:14">
      <c r="A268" s="156">
        <v>267</v>
      </c>
      <c r="B268" s="157" t="s">
        <v>441</v>
      </c>
      <c r="C268" s="156">
        <v>23</v>
      </c>
      <c r="D268" s="157" t="s">
        <v>62</v>
      </c>
      <c r="E268" s="156">
        <v>23</v>
      </c>
      <c r="F268" s="157" t="s">
        <v>58</v>
      </c>
      <c r="G268" s="158">
        <v>20</v>
      </c>
      <c r="H268" s="158">
        <v>15000</v>
      </c>
      <c r="I268" s="158">
        <v>300000</v>
      </c>
      <c r="J268" s="158">
        <v>14500</v>
      </c>
      <c r="K268" s="158">
        <v>290000</v>
      </c>
      <c r="L268" s="158">
        <v>10000</v>
      </c>
      <c r="M268" s="159">
        <v>3.3333333333333298E-2</v>
      </c>
      <c r="N268" s="157" t="s">
        <v>325</v>
      </c>
    </row>
    <row r="269" spans="1:14">
      <c r="A269" s="156">
        <v>268</v>
      </c>
      <c r="B269" s="157" t="s">
        <v>441</v>
      </c>
      <c r="C269" s="156">
        <v>23</v>
      </c>
      <c r="D269" s="157" t="s">
        <v>62</v>
      </c>
      <c r="E269" s="156">
        <v>15</v>
      </c>
      <c r="F269" s="157" t="s">
        <v>29</v>
      </c>
      <c r="G269" s="158">
        <v>50</v>
      </c>
      <c r="H269" s="158">
        <v>7600</v>
      </c>
      <c r="I269" s="158">
        <v>380000</v>
      </c>
      <c r="J269" s="158">
        <v>6000</v>
      </c>
      <c r="K269" s="158">
        <v>300000</v>
      </c>
      <c r="L269" s="158">
        <v>80000</v>
      </c>
      <c r="M269" s="159">
        <v>0.21052631578947401</v>
      </c>
      <c r="N269" s="157" t="s">
        <v>325</v>
      </c>
    </row>
    <row r="270" spans="1:14">
      <c r="A270" s="156">
        <v>269</v>
      </c>
      <c r="B270" s="157" t="s">
        <v>441</v>
      </c>
      <c r="C270" s="156">
        <v>23</v>
      </c>
      <c r="D270" s="157" t="s">
        <v>62</v>
      </c>
      <c r="E270" s="156">
        <v>13</v>
      </c>
      <c r="F270" s="157" t="s">
        <v>3</v>
      </c>
      <c r="G270" s="158">
        <v>550</v>
      </c>
      <c r="H270" s="158">
        <v>6600</v>
      </c>
      <c r="I270" s="158">
        <v>3630000</v>
      </c>
      <c r="J270" s="158">
        <v>5000</v>
      </c>
      <c r="K270" s="158">
        <v>2750000</v>
      </c>
      <c r="L270" s="158">
        <v>880000</v>
      </c>
      <c r="M270" s="159">
        <v>0.24242424242424199</v>
      </c>
      <c r="N270" s="157" t="s">
        <v>325</v>
      </c>
    </row>
    <row r="271" spans="1:14">
      <c r="A271" s="156">
        <v>270</v>
      </c>
      <c r="B271" s="157" t="s">
        <v>441</v>
      </c>
      <c r="C271" s="156">
        <v>23</v>
      </c>
      <c r="D271" s="157" t="s">
        <v>62</v>
      </c>
      <c r="E271" s="156">
        <v>50</v>
      </c>
      <c r="F271" s="157" t="s">
        <v>59</v>
      </c>
      <c r="G271" s="158">
        <v>60</v>
      </c>
      <c r="H271" s="158">
        <v>18400</v>
      </c>
      <c r="I271" s="158">
        <v>1104000</v>
      </c>
      <c r="J271" s="158">
        <v>15500</v>
      </c>
      <c r="K271" s="158">
        <v>930000</v>
      </c>
      <c r="L271" s="158">
        <v>174000</v>
      </c>
      <c r="M271" s="159">
        <v>0.157608695652174</v>
      </c>
      <c r="N271" s="157" t="s">
        <v>325</v>
      </c>
    </row>
    <row r="272" spans="1:14">
      <c r="A272" s="156">
        <v>271</v>
      </c>
      <c r="B272" s="157" t="s">
        <v>441</v>
      </c>
      <c r="C272" s="156">
        <v>23</v>
      </c>
      <c r="D272" s="157" t="s">
        <v>62</v>
      </c>
      <c r="E272" s="156">
        <v>123</v>
      </c>
      <c r="F272" s="157" t="s">
        <v>408</v>
      </c>
      <c r="G272" s="158">
        <v>16</v>
      </c>
      <c r="H272" s="158">
        <v>28000</v>
      </c>
      <c r="I272" s="158">
        <v>448000</v>
      </c>
      <c r="J272" s="158">
        <v>16000</v>
      </c>
      <c r="K272" s="158">
        <v>256000</v>
      </c>
      <c r="L272" s="158">
        <v>192000</v>
      </c>
      <c r="M272" s="159">
        <v>0.42857142857142899</v>
      </c>
      <c r="N272" s="157" t="s">
        <v>325</v>
      </c>
    </row>
    <row r="273" spans="1:14">
      <c r="A273" s="156">
        <v>272</v>
      </c>
      <c r="B273" s="157" t="s">
        <v>441</v>
      </c>
      <c r="C273" s="156">
        <v>23</v>
      </c>
      <c r="D273" s="157" t="s">
        <v>62</v>
      </c>
      <c r="E273" s="156">
        <v>24</v>
      </c>
      <c r="F273" s="157" t="s">
        <v>6</v>
      </c>
      <c r="G273" s="158">
        <v>6</v>
      </c>
      <c r="H273" s="158">
        <v>68000</v>
      </c>
      <c r="I273" s="158">
        <v>408000</v>
      </c>
      <c r="J273" s="158">
        <v>55000</v>
      </c>
      <c r="K273" s="158">
        <v>330000</v>
      </c>
      <c r="L273" s="158">
        <v>78000</v>
      </c>
      <c r="M273" s="159">
        <v>0.191176470588235</v>
      </c>
      <c r="N273" s="157" t="s">
        <v>325</v>
      </c>
    </row>
    <row r="274" spans="1:14">
      <c r="A274" s="156">
        <v>273</v>
      </c>
      <c r="B274" s="157" t="s">
        <v>440</v>
      </c>
      <c r="C274" s="156">
        <v>25</v>
      </c>
      <c r="D274" s="157" t="s">
        <v>308</v>
      </c>
      <c r="E274" s="156">
        <v>133</v>
      </c>
      <c r="F274" s="157" t="s">
        <v>418</v>
      </c>
      <c r="G274" s="158">
        <v>698</v>
      </c>
      <c r="H274" s="158">
        <v>11022.7263610315</v>
      </c>
      <c r="I274" s="158">
        <v>7693863</v>
      </c>
      <c r="J274" s="158">
        <v>8928</v>
      </c>
      <c r="K274" s="158">
        <v>6231744</v>
      </c>
      <c r="L274" s="158">
        <v>1462119</v>
      </c>
      <c r="M274" s="159">
        <v>0.19003704640958599</v>
      </c>
      <c r="N274" s="157" t="s">
        <v>321</v>
      </c>
    </row>
    <row r="275" spans="1:14">
      <c r="A275" s="156">
        <v>274</v>
      </c>
      <c r="B275" s="157" t="s">
        <v>440</v>
      </c>
      <c r="C275" s="156">
        <v>25</v>
      </c>
      <c r="D275" s="157" t="s">
        <v>308</v>
      </c>
      <c r="E275" s="156">
        <v>41</v>
      </c>
      <c r="F275" s="157" t="s">
        <v>44</v>
      </c>
      <c r="G275" s="158">
        <v>1940</v>
      </c>
      <c r="H275" s="158">
        <v>4963.6360824742296</v>
      </c>
      <c r="I275" s="158">
        <v>9629454</v>
      </c>
      <c r="J275" s="158">
        <v>3600</v>
      </c>
      <c r="K275" s="158">
        <v>6984000</v>
      </c>
      <c r="L275" s="158">
        <v>2645454</v>
      </c>
      <c r="M275" s="159">
        <v>0.27472523364252999</v>
      </c>
      <c r="N275" s="157" t="s">
        <v>321</v>
      </c>
    </row>
    <row r="276" spans="1:14">
      <c r="A276" s="156">
        <v>275</v>
      </c>
      <c r="B276" s="157" t="s">
        <v>440</v>
      </c>
      <c r="C276" s="156">
        <v>25</v>
      </c>
      <c r="D276" s="157" t="s">
        <v>308</v>
      </c>
      <c r="E276" s="156">
        <v>54</v>
      </c>
      <c r="F276" s="157" t="s">
        <v>339</v>
      </c>
      <c r="G276" s="158">
        <v>40</v>
      </c>
      <c r="H276" s="158">
        <v>94000</v>
      </c>
      <c r="I276" s="158">
        <v>3760000</v>
      </c>
      <c r="J276" s="158">
        <v>65800</v>
      </c>
      <c r="K276" s="158">
        <v>2632000</v>
      </c>
      <c r="L276" s="158">
        <v>1128000</v>
      </c>
      <c r="M276" s="159">
        <v>0.3</v>
      </c>
      <c r="N276" s="157" t="s">
        <v>321</v>
      </c>
    </row>
    <row r="277" spans="1:14">
      <c r="A277" s="156">
        <v>276</v>
      </c>
      <c r="B277" s="157" t="s">
        <v>440</v>
      </c>
      <c r="C277" s="156">
        <v>25</v>
      </c>
      <c r="D277" s="157" t="s">
        <v>308</v>
      </c>
      <c r="E277" s="156">
        <v>52</v>
      </c>
      <c r="F277" s="157" t="s">
        <v>337</v>
      </c>
      <c r="G277" s="158">
        <v>17</v>
      </c>
      <c r="H277" s="158">
        <v>10454.529411764701</v>
      </c>
      <c r="I277" s="158">
        <v>177727</v>
      </c>
      <c r="J277" s="158">
        <v>7727</v>
      </c>
      <c r="K277" s="158">
        <v>131359</v>
      </c>
      <c r="L277" s="158">
        <v>46368</v>
      </c>
      <c r="M277" s="159">
        <v>0.26089451799670299</v>
      </c>
      <c r="N277" s="157" t="s">
        <v>321</v>
      </c>
    </row>
    <row r="278" spans="1:14">
      <c r="A278" s="156">
        <v>277</v>
      </c>
      <c r="B278" s="157" t="s">
        <v>441</v>
      </c>
      <c r="C278" s="156">
        <v>25</v>
      </c>
      <c r="D278" s="157" t="s">
        <v>308</v>
      </c>
      <c r="E278" s="156">
        <v>133</v>
      </c>
      <c r="F278" s="157" t="s">
        <v>418</v>
      </c>
      <c r="G278" s="158">
        <v>650</v>
      </c>
      <c r="H278" s="158">
        <v>11022.727692307701</v>
      </c>
      <c r="I278" s="158">
        <v>7164773</v>
      </c>
      <c r="J278" s="158">
        <v>8928</v>
      </c>
      <c r="K278" s="158">
        <v>5803200</v>
      </c>
      <c r="L278" s="158">
        <v>1361573</v>
      </c>
      <c r="M278" s="159">
        <v>0.19003714423331999</v>
      </c>
      <c r="N278" s="157" t="s">
        <v>321</v>
      </c>
    </row>
    <row r="279" spans="1:14">
      <c r="A279" s="156">
        <v>278</v>
      </c>
      <c r="B279" s="157" t="s">
        <v>441</v>
      </c>
      <c r="C279" s="156">
        <v>25</v>
      </c>
      <c r="D279" s="157" t="s">
        <v>308</v>
      </c>
      <c r="E279" s="156">
        <v>41</v>
      </c>
      <c r="F279" s="157" t="s">
        <v>44</v>
      </c>
      <c r="G279" s="158">
        <v>1440</v>
      </c>
      <c r="H279" s="158">
        <v>4963.63611111111</v>
      </c>
      <c r="I279" s="158">
        <v>7147636</v>
      </c>
      <c r="J279" s="158">
        <v>3600</v>
      </c>
      <c r="K279" s="158">
        <v>5184000</v>
      </c>
      <c r="L279" s="158">
        <v>1963636</v>
      </c>
      <c r="M279" s="159">
        <v>0.27472523782688402</v>
      </c>
      <c r="N279" s="157" t="s">
        <v>321</v>
      </c>
    </row>
    <row r="280" spans="1:14">
      <c r="A280" s="156">
        <v>279</v>
      </c>
      <c r="B280" s="157" t="s">
        <v>441</v>
      </c>
      <c r="C280" s="156">
        <v>25</v>
      </c>
      <c r="D280" s="157" t="s">
        <v>308</v>
      </c>
      <c r="E280" s="156">
        <v>54</v>
      </c>
      <c r="F280" s="157" t="s">
        <v>339</v>
      </c>
      <c r="G280" s="158">
        <v>60</v>
      </c>
      <c r="H280" s="158">
        <v>94000</v>
      </c>
      <c r="I280" s="158">
        <v>5640000</v>
      </c>
      <c r="J280" s="158">
        <v>65800</v>
      </c>
      <c r="K280" s="158">
        <v>3948000</v>
      </c>
      <c r="L280" s="158">
        <v>1692000</v>
      </c>
      <c r="M280" s="159">
        <v>0.3</v>
      </c>
      <c r="N280" s="157" t="s">
        <v>321</v>
      </c>
    </row>
    <row r="281" spans="1:14">
      <c r="A281" s="156">
        <v>280</v>
      </c>
      <c r="B281" s="157" t="s">
        <v>441</v>
      </c>
      <c r="C281" s="156">
        <v>25</v>
      </c>
      <c r="D281" s="157" t="s">
        <v>308</v>
      </c>
      <c r="E281" s="156">
        <v>52</v>
      </c>
      <c r="F281" s="157" t="s">
        <v>337</v>
      </c>
      <c r="G281" s="158">
        <v>30</v>
      </c>
      <c r="H281" s="158">
        <v>10454.5333333333</v>
      </c>
      <c r="I281" s="158">
        <v>313636</v>
      </c>
      <c r="J281" s="158">
        <v>7727</v>
      </c>
      <c r="K281" s="158">
        <v>231810</v>
      </c>
      <c r="L281" s="158">
        <v>81826</v>
      </c>
      <c r="M281" s="159">
        <v>0.26089479524034198</v>
      </c>
      <c r="N281" s="157" t="s">
        <v>321</v>
      </c>
    </row>
    <row r="282" spans="1:14">
      <c r="A282" s="156">
        <v>281</v>
      </c>
      <c r="B282" s="157" t="s">
        <v>440</v>
      </c>
      <c r="C282" s="156">
        <v>26</v>
      </c>
      <c r="D282" s="157" t="s">
        <v>64</v>
      </c>
      <c r="E282" s="156">
        <v>99</v>
      </c>
      <c r="F282" s="157" t="s">
        <v>384</v>
      </c>
      <c r="G282" s="158">
        <v>80</v>
      </c>
      <c r="H282" s="158">
        <v>108115</v>
      </c>
      <c r="I282" s="158">
        <v>8649164</v>
      </c>
      <c r="J282" s="158">
        <v>54060</v>
      </c>
      <c r="K282" s="158">
        <v>4324800</v>
      </c>
      <c r="L282" s="158">
        <v>4324364</v>
      </c>
      <c r="M282" s="159">
        <v>0.49997479525188798</v>
      </c>
      <c r="N282" s="157" t="s">
        <v>321</v>
      </c>
    </row>
    <row r="283" spans="1:14">
      <c r="A283" s="156">
        <v>282</v>
      </c>
      <c r="B283" s="157" t="s">
        <v>440</v>
      </c>
      <c r="C283" s="156">
        <v>26</v>
      </c>
      <c r="D283" s="157" t="s">
        <v>64</v>
      </c>
      <c r="E283" s="156">
        <v>67</v>
      </c>
      <c r="F283" s="157" t="s">
        <v>352</v>
      </c>
      <c r="G283" s="158">
        <v>690</v>
      </c>
      <c r="H283" s="158">
        <v>1450</v>
      </c>
      <c r="I283" s="158">
        <v>1000500</v>
      </c>
      <c r="J283" s="158">
        <v>1319</v>
      </c>
      <c r="K283" s="158">
        <v>910110</v>
      </c>
      <c r="L283" s="158">
        <v>90390</v>
      </c>
      <c r="M283" s="159">
        <v>9.0344827586206905E-2</v>
      </c>
      <c r="N283" s="157" t="s">
        <v>321</v>
      </c>
    </row>
    <row r="284" spans="1:14">
      <c r="A284" s="156">
        <v>283</v>
      </c>
      <c r="B284" s="157" t="s">
        <v>440</v>
      </c>
      <c r="C284" s="156">
        <v>26</v>
      </c>
      <c r="D284" s="157" t="s">
        <v>64</v>
      </c>
      <c r="E284" s="156">
        <v>68</v>
      </c>
      <c r="F284" s="157" t="s">
        <v>353</v>
      </c>
      <c r="G284" s="158">
        <v>50</v>
      </c>
      <c r="H284" s="158">
        <v>1009</v>
      </c>
      <c r="I284" s="158">
        <v>50455</v>
      </c>
      <c r="J284" s="158">
        <v>918</v>
      </c>
      <c r="K284" s="158">
        <v>45900</v>
      </c>
      <c r="L284" s="158">
        <v>4555</v>
      </c>
      <c r="M284" s="159">
        <v>9.0278465959766102E-2</v>
      </c>
      <c r="N284" s="157" t="s">
        <v>321</v>
      </c>
    </row>
    <row r="285" spans="1:14">
      <c r="A285" s="156">
        <v>284</v>
      </c>
      <c r="B285" s="157" t="s">
        <v>440</v>
      </c>
      <c r="C285" s="156">
        <v>26</v>
      </c>
      <c r="D285" s="157" t="s">
        <v>64</v>
      </c>
      <c r="E285" s="156">
        <v>69</v>
      </c>
      <c r="F285" s="157" t="s">
        <v>354</v>
      </c>
      <c r="G285" s="158">
        <v>3</v>
      </c>
      <c r="H285" s="158">
        <v>12500</v>
      </c>
      <c r="I285" s="158">
        <v>37500</v>
      </c>
      <c r="J285" s="158">
        <v>11364</v>
      </c>
      <c r="K285" s="158">
        <v>34092</v>
      </c>
      <c r="L285" s="158">
        <v>3408</v>
      </c>
      <c r="M285" s="159">
        <v>9.0880000000000002E-2</v>
      </c>
      <c r="N285" s="157" t="s">
        <v>321</v>
      </c>
    </row>
    <row r="286" spans="1:14">
      <c r="A286" s="156">
        <v>285</v>
      </c>
      <c r="B286" s="157" t="s">
        <v>440</v>
      </c>
      <c r="C286" s="156">
        <v>26</v>
      </c>
      <c r="D286" s="157" t="s">
        <v>64</v>
      </c>
      <c r="E286" s="156">
        <v>65</v>
      </c>
      <c r="F286" s="157" t="s">
        <v>350</v>
      </c>
      <c r="G286" s="158">
        <v>40</v>
      </c>
      <c r="H286" s="158">
        <v>5159</v>
      </c>
      <c r="I286" s="158">
        <v>206364</v>
      </c>
      <c r="J286" s="158">
        <v>4273</v>
      </c>
      <c r="K286" s="158">
        <v>170920</v>
      </c>
      <c r="L286" s="158">
        <v>35444</v>
      </c>
      <c r="M286" s="159">
        <v>0.17175476342773</v>
      </c>
      <c r="N286" s="157" t="s">
        <v>321</v>
      </c>
    </row>
    <row r="287" spans="1:14">
      <c r="A287" s="156">
        <v>286</v>
      </c>
      <c r="B287" s="157" t="s">
        <v>440</v>
      </c>
      <c r="C287" s="156">
        <v>26</v>
      </c>
      <c r="D287" s="157" t="s">
        <v>64</v>
      </c>
      <c r="E287" s="156">
        <v>72</v>
      </c>
      <c r="F287" s="157" t="s">
        <v>357</v>
      </c>
      <c r="G287" s="158">
        <v>240</v>
      </c>
      <c r="H287" s="158">
        <v>11003</v>
      </c>
      <c r="I287" s="158">
        <v>2640655</v>
      </c>
      <c r="J287" s="158">
        <v>8362</v>
      </c>
      <c r="K287" s="158">
        <v>2006880</v>
      </c>
      <c r="L287" s="158">
        <v>633775</v>
      </c>
      <c r="M287" s="159">
        <v>0.24000674075182099</v>
      </c>
      <c r="N287" s="157" t="s">
        <v>321</v>
      </c>
    </row>
    <row r="288" spans="1:14">
      <c r="A288" s="156">
        <v>287</v>
      </c>
      <c r="B288" s="157" t="s">
        <v>440</v>
      </c>
      <c r="C288" s="156">
        <v>26</v>
      </c>
      <c r="D288" s="157" t="s">
        <v>64</v>
      </c>
      <c r="E288" s="156">
        <v>90</v>
      </c>
      <c r="F288" s="157" t="s">
        <v>375</v>
      </c>
      <c r="G288" s="158">
        <v>192</v>
      </c>
      <c r="H288" s="158">
        <v>9837</v>
      </c>
      <c r="I288" s="158">
        <v>1888756</v>
      </c>
      <c r="J288" s="158">
        <v>7476</v>
      </c>
      <c r="K288" s="158">
        <v>1435392</v>
      </c>
      <c r="L288" s="158">
        <v>453364</v>
      </c>
      <c r="M288" s="159">
        <v>0.24003312233025301</v>
      </c>
      <c r="N288" s="157" t="s">
        <v>321</v>
      </c>
    </row>
    <row r="289" spans="1:14">
      <c r="A289" s="156">
        <v>288</v>
      </c>
      <c r="B289" s="157" t="s">
        <v>440</v>
      </c>
      <c r="C289" s="156">
        <v>26</v>
      </c>
      <c r="D289" s="157" t="s">
        <v>64</v>
      </c>
      <c r="E289" s="156">
        <v>91</v>
      </c>
      <c r="F289" s="157" t="s">
        <v>376</v>
      </c>
      <c r="G289" s="158">
        <v>420</v>
      </c>
      <c r="H289" s="158">
        <v>11083</v>
      </c>
      <c r="I289" s="158">
        <v>4654745</v>
      </c>
      <c r="J289" s="158">
        <v>8423</v>
      </c>
      <c r="K289" s="158">
        <v>3537660</v>
      </c>
      <c r="L289" s="158">
        <v>1117085</v>
      </c>
      <c r="M289" s="159">
        <v>0.239988441901758</v>
      </c>
      <c r="N289" s="157" t="s">
        <v>321</v>
      </c>
    </row>
    <row r="290" spans="1:14">
      <c r="A290" s="156">
        <v>289</v>
      </c>
      <c r="B290" s="157" t="s">
        <v>440</v>
      </c>
      <c r="C290" s="156">
        <v>26</v>
      </c>
      <c r="D290" s="157" t="s">
        <v>64</v>
      </c>
      <c r="E290" s="156">
        <v>114</v>
      </c>
      <c r="F290" s="157" t="s">
        <v>399</v>
      </c>
      <c r="G290" s="158">
        <v>10</v>
      </c>
      <c r="H290" s="158">
        <v>39318</v>
      </c>
      <c r="I290" s="158">
        <v>393182</v>
      </c>
      <c r="J290" s="158">
        <v>35779</v>
      </c>
      <c r="K290" s="158">
        <v>357790</v>
      </c>
      <c r="L290" s="158">
        <v>35392</v>
      </c>
      <c r="M290" s="159">
        <v>9.0014293635008694E-2</v>
      </c>
      <c r="N290" s="157" t="s">
        <v>321</v>
      </c>
    </row>
    <row r="291" spans="1:14">
      <c r="A291" s="156">
        <v>290</v>
      </c>
      <c r="B291" s="157" t="s">
        <v>440</v>
      </c>
      <c r="C291" s="156">
        <v>26</v>
      </c>
      <c r="D291" s="157" t="s">
        <v>64</v>
      </c>
      <c r="E291" s="156">
        <v>34</v>
      </c>
      <c r="F291" s="157" t="s">
        <v>41</v>
      </c>
      <c r="G291" s="158">
        <v>48</v>
      </c>
      <c r="H291" s="158">
        <v>10900</v>
      </c>
      <c r="I291" s="158">
        <v>523200</v>
      </c>
      <c r="J291" s="158">
        <v>10000</v>
      </c>
      <c r="K291" s="158">
        <v>480000</v>
      </c>
      <c r="L291" s="158">
        <v>43200</v>
      </c>
      <c r="M291" s="159">
        <v>8.2568807339449504E-2</v>
      </c>
      <c r="N291" s="157" t="s">
        <v>321</v>
      </c>
    </row>
    <row r="292" spans="1:14">
      <c r="A292" s="156">
        <v>291</v>
      </c>
      <c r="B292" s="157" t="s">
        <v>440</v>
      </c>
      <c r="C292" s="156">
        <v>26</v>
      </c>
      <c r="D292" s="157" t="s">
        <v>64</v>
      </c>
      <c r="E292" s="156">
        <v>61</v>
      </c>
      <c r="F292" s="157" t="s">
        <v>346</v>
      </c>
      <c r="G292" s="158">
        <v>9</v>
      </c>
      <c r="H292" s="158">
        <v>12527</v>
      </c>
      <c r="I292" s="158">
        <v>112745</v>
      </c>
      <c r="J292" s="158">
        <v>10030</v>
      </c>
      <c r="K292" s="158">
        <v>90270</v>
      </c>
      <c r="L292" s="158">
        <v>22475</v>
      </c>
      <c r="M292" s="159">
        <v>0.19934365160317499</v>
      </c>
      <c r="N292" s="157" t="s">
        <v>321</v>
      </c>
    </row>
    <row r="293" spans="1:14">
      <c r="A293" s="156">
        <v>292</v>
      </c>
      <c r="B293" s="157" t="s">
        <v>440</v>
      </c>
      <c r="C293" s="156">
        <v>26</v>
      </c>
      <c r="D293" s="157" t="s">
        <v>64</v>
      </c>
      <c r="E293" s="156">
        <v>73</v>
      </c>
      <c r="F293" s="157" t="s">
        <v>358</v>
      </c>
      <c r="G293" s="158">
        <v>2</v>
      </c>
      <c r="H293" s="158">
        <v>15818</v>
      </c>
      <c r="I293" s="158">
        <v>31636</v>
      </c>
      <c r="J293" s="158">
        <v>14710.909090909099</v>
      </c>
      <c r="K293" s="158">
        <v>29421.818181818198</v>
      </c>
      <c r="L293" s="158">
        <v>2214.1818181818198</v>
      </c>
      <c r="M293" s="159">
        <v>6.9989310221956605E-2</v>
      </c>
      <c r="N293" s="157" t="s">
        <v>321</v>
      </c>
    </row>
    <row r="294" spans="1:14">
      <c r="A294" s="156">
        <v>293</v>
      </c>
      <c r="B294" s="157" t="s">
        <v>440</v>
      </c>
      <c r="C294" s="156">
        <v>26</v>
      </c>
      <c r="D294" s="157" t="s">
        <v>64</v>
      </c>
      <c r="E294" s="156">
        <v>79</v>
      </c>
      <c r="F294" s="157" t="s">
        <v>364</v>
      </c>
      <c r="G294" s="158">
        <v>5</v>
      </c>
      <c r="H294" s="158">
        <v>118427</v>
      </c>
      <c r="I294" s="158">
        <v>592136</v>
      </c>
      <c r="J294" s="158">
        <v>113690</v>
      </c>
      <c r="K294" s="158">
        <v>568450</v>
      </c>
      <c r="L294" s="158">
        <v>23686.000000000098</v>
      </c>
      <c r="M294" s="159">
        <v>4.0000945728684199E-2</v>
      </c>
      <c r="N294" s="157" t="s">
        <v>321</v>
      </c>
    </row>
    <row r="295" spans="1:14">
      <c r="A295" s="156">
        <v>294</v>
      </c>
      <c r="B295" s="157" t="s">
        <v>440</v>
      </c>
      <c r="C295" s="156">
        <v>26</v>
      </c>
      <c r="D295" s="157" t="s">
        <v>64</v>
      </c>
      <c r="E295" s="156">
        <v>106</v>
      </c>
      <c r="F295" s="157" t="s">
        <v>391</v>
      </c>
      <c r="G295" s="158">
        <v>1</v>
      </c>
      <c r="H295" s="158">
        <v>8291</v>
      </c>
      <c r="I295" s="158">
        <v>8291</v>
      </c>
      <c r="J295" s="158">
        <v>7636.3636363636397</v>
      </c>
      <c r="K295" s="158">
        <v>7636.3636363636397</v>
      </c>
      <c r="L295" s="158">
        <v>654.63636363636397</v>
      </c>
      <c r="M295" s="159">
        <v>7.8957467571627499E-2</v>
      </c>
      <c r="N295" s="157" t="s">
        <v>321</v>
      </c>
    </row>
    <row r="296" spans="1:14">
      <c r="A296" s="156">
        <v>295</v>
      </c>
      <c r="B296" s="157" t="s">
        <v>440</v>
      </c>
      <c r="C296" s="156">
        <v>26</v>
      </c>
      <c r="D296" s="157" t="s">
        <v>64</v>
      </c>
      <c r="E296" s="156">
        <v>108</v>
      </c>
      <c r="F296" s="157" t="s">
        <v>393</v>
      </c>
      <c r="G296" s="158">
        <v>1</v>
      </c>
      <c r="H296" s="158">
        <v>71000</v>
      </c>
      <c r="I296" s="158">
        <v>71000</v>
      </c>
      <c r="J296" s="158">
        <v>67450</v>
      </c>
      <c r="K296" s="158">
        <v>67450</v>
      </c>
      <c r="L296" s="158">
        <v>3550</v>
      </c>
      <c r="M296" s="159">
        <v>0.05</v>
      </c>
      <c r="N296" s="157" t="s">
        <v>321</v>
      </c>
    </row>
    <row r="297" spans="1:14">
      <c r="A297" s="156">
        <v>296</v>
      </c>
      <c r="B297" s="157" t="s">
        <v>441</v>
      </c>
      <c r="C297" s="156">
        <v>26</v>
      </c>
      <c r="D297" s="157" t="s">
        <v>64</v>
      </c>
      <c r="E297" s="156">
        <v>99</v>
      </c>
      <c r="F297" s="157" t="s">
        <v>384</v>
      </c>
      <c r="G297" s="158">
        <v>50</v>
      </c>
      <c r="H297" s="158">
        <v>108115</v>
      </c>
      <c r="I297" s="158">
        <v>5405727</v>
      </c>
      <c r="J297" s="158">
        <v>54060</v>
      </c>
      <c r="K297" s="158">
        <v>2703000</v>
      </c>
      <c r="L297" s="158">
        <v>2702727</v>
      </c>
      <c r="M297" s="159">
        <v>0.49997474900230798</v>
      </c>
      <c r="N297" s="157" t="s">
        <v>321</v>
      </c>
    </row>
    <row r="298" spans="1:14">
      <c r="A298" s="156">
        <v>297</v>
      </c>
      <c r="B298" s="157" t="s">
        <v>441</v>
      </c>
      <c r="C298" s="156">
        <v>26</v>
      </c>
      <c r="D298" s="157" t="s">
        <v>64</v>
      </c>
      <c r="E298" s="156">
        <v>67</v>
      </c>
      <c r="F298" s="157" t="s">
        <v>352</v>
      </c>
      <c r="G298" s="158">
        <v>720</v>
      </c>
      <c r="H298" s="158">
        <v>1450</v>
      </c>
      <c r="I298" s="158">
        <v>1044000</v>
      </c>
      <c r="J298" s="158">
        <v>1319</v>
      </c>
      <c r="K298" s="158">
        <v>949680</v>
      </c>
      <c r="L298" s="158">
        <v>94320</v>
      </c>
      <c r="M298" s="159">
        <v>9.0344827586206905E-2</v>
      </c>
      <c r="N298" s="157" t="s">
        <v>321</v>
      </c>
    </row>
    <row r="299" spans="1:14">
      <c r="A299" s="156">
        <v>298</v>
      </c>
      <c r="B299" s="157" t="s">
        <v>441</v>
      </c>
      <c r="C299" s="156">
        <v>26</v>
      </c>
      <c r="D299" s="157" t="s">
        <v>64</v>
      </c>
      <c r="E299" s="156">
        <v>69</v>
      </c>
      <c r="F299" s="157" t="s">
        <v>354</v>
      </c>
      <c r="G299" s="158">
        <v>2</v>
      </c>
      <c r="H299" s="158">
        <v>12500</v>
      </c>
      <c r="I299" s="158">
        <v>25000</v>
      </c>
      <c r="J299" s="158">
        <v>11364</v>
      </c>
      <c r="K299" s="158">
        <v>22728</v>
      </c>
      <c r="L299" s="158">
        <v>2272</v>
      </c>
      <c r="M299" s="159">
        <v>9.0880000000000002E-2</v>
      </c>
      <c r="N299" s="157" t="s">
        <v>321</v>
      </c>
    </row>
    <row r="300" spans="1:14">
      <c r="A300" s="156">
        <v>299</v>
      </c>
      <c r="B300" s="157" t="s">
        <v>441</v>
      </c>
      <c r="C300" s="156">
        <v>26</v>
      </c>
      <c r="D300" s="157" t="s">
        <v>64</v>
      </c>
      <c r="E300" s="156">
        <v>66</v>
      </c>
      <c r="F300" s="157" t="s">
        <v>351</v>
      </c>
      <c r="G300" s="158">
        <v>1</v>
      </c>
      <c r="H300" s="158">
        <v>23136</v>
      </c>
      <c r="I300" s="158">
        <v>23136</v>
      </c>
      <c r="J300" s="158">
        <v>12727.272727272701</v>
      </c>
      <c r="K300" s="158">
        <v>12727.272727272701</v>
      </c>
      <c r="L300" s="158">
        <v>10408.727272727299</v>
      </c>
      <c r="M300" s="159">
        <v>0.44989312209229199</v>
      </c>
      <c r="N300" s="157" t="s">
        <v>321</v>
      </c>
    </row>
    <row r="301" spans="1:14">
      <c r="A301" s="156">
        <v>300</v>
      </c>
      <c r="B301" s="157" t="s">
        <v>441</v>
      </c>
      <c r="C301" s="156">
        <v>26</v>
      </c>
      <c r="D301" s="157" t="s">
        <v>64</v>
      </c>
      <c r="E301" s="156">
        <v>72</v>
      </c>
      <c r="F301" s="157" t="s">
        <v>357</v>
      </c>
      <c r="G301" s="158">
        <v>180</v>
      </c>
      <c r="H301" s="158">
        <v>11003</v>
      </c>
      <c r="I301" s="158">
        <v>1980491</v>
      </c>
      <c r="J301" s="158">
        <v>8362</v>
      </c>
      <c r="K301" s="158">
        <v>1505160</v>
      </c>
      <c r="L301" s="158">
        <v>475331</v>
      </c>
      <c r="M301" s="159">
        <v>0.24000664481686601</v>
      </c>
      <c r="N301" s="157" t="s">
        <v>321</v>
      </c>
    </row>
    <row r="302" spans="1:14">
      <c r="A302" s="156">
        <v>301</v>
      </c>
      <c r="B302" s="157" t="s">
        <v>441</v>
      </c>
      <c r="C302" s="156">
        <v>26</v>
      </c>
      <c r="D302" s="157" t="s">
        <v>64</v>
      </c>
      <c r="E302" s="156">
        <v>90</v>
      </c>
      <c r="F302" s="157" t="s">
        <v>375</v>
      </c>
      <c r="G302" s="158">
        <v>175</v>
      </c>
      <c r="H302" s="158">
        <v>9837</v>
      </c>
      <c r="I302" s="158">
        <v>1721523</v>
      </c>
      <c r="J302" s="158">
        <v>7476</v>
      </c>
      <c r="K302" s="158">
        <v>1308300</v>
      </c>
      <c r="L302" s="158">
        <v>413223</v>
      </c>
      <c r="M302" s="159">
        <v>0.24003338903982099</v>
      </c>
      <c r="N302" s="157" t="s">
        <v>321</v>
      </c>
    </row>
    <row r="303" spans="1:14">
      <c r="A303" s="156">
        <v>302</v>
      </c>
      <c r="B303" s="157" t="s">
        <v>441</v>
      </c>
      <c r="C303" s="156">
        <v>26</v>
      </c>
      <c r="D303" s="157" t="s">
        <v>64</v>
      </c>
      <c r="E303" s="156">
        <v>91</v>
      </c>
      <c r="F303" s="157" t="s">
        <v>376</v>
      </c>
      <c r="G303" s="158">
        <v>320</v>
      </c>
      <c r="H303" s="158">
        <v>11083</v>
      </c>
      <c r="I303" s="158">
        <v>3546473</v>
      </c>
      <c r="J303" s="158">
        <v>8423</v>
      </c>
      <c r="K303" s="158">
        <v>2695360</v>
      </c>
      <c r="L303" s="158">
        <v>851113</v>
      </c>
      <c r="M303" s="159">
        <v>0.23998857456408099</v>
      </c>
      <c r="N303" s="157" t="s">
        <v>321</v>
      </c>
    </row>
    <row r="304" spans="1:14">
      <c r="A304" s="156">
        <v>303</v>
      </c>
      <c r="B304" s="157" t="s">
        <v>441</v>
      </c>
      <c r="C304" s="156">
        <v>26</v>
      </c>
      <c r="D304" s="157" t="s">
        <v>64</v>
      </c>
      <c r="E304" s="156">
        <v>114</v>
      </c>
      <c r="F304" s="157" t="s">
        <v>399</v>
      </c>
      <c r="G304" s="158">
        <v>20</v>
      </c>
      <c r="H304" s="158">
        <v>39318</v>
      </c>
      <c r="I304" s="158">
        <v>786364</v>
      </c>
      <c r="J304" s="158">
        <v>35779</v>
      </c>
      <c r="K304" s="158">
        <v>715580</v>
      </c>
      <c r="L304" s="158">
        <v>70784</v>
      </c>
      <c r="M304" s="159">
        <v>9.0014293635008694E-2</v>
      </c>
      <c r="N304" s="157" t="s">
        <v>321</v>
      </c>
    </row>
    <row r="305" spans="1:14">
      <c r="A305" s="156">
        <v>304</v>
      </c>
      <c r="B305" s="157" t="s">
        <v>441</v>
      </c>
      <c r="C305" s="156">
        <v>26</v>
      </c>
      <c r="D305" s="157" t="s">
        <v>64</v>
      </c>
      <c r="E305" s="156">
        <v>138</v>
      </c>
      <c r="F305" s="157" t="s">
        <v>423</v>
      </c>
      <c r="G305" s="158">
        <v>10</v>
      </c>
      <c r="H305" s="158">
        <v>40818</v>
      </c>
      <c r="I305" s="158">
        <v>408182</v>
      </c>
      <c r="J305" s="158">
        <v>37143.636363636397</v>
      </c>
      <c r="K305" s="158">
        <v>371436.363636364</v>
      </c>
      <c r="L305" s="158">
        <v>36745.636363636397</v>
      </c>
      <c r="M305" s="159">
        <v>9.0022677050032598E-2</v>
      </c>
      <c r="N305" s="157" t="s">
        <v>321</v>
      </c>
    </row>
    <row r="306" spans="1:14">
      <c r="A306" s="156">
        <v>305</v>
      </c>
      <c r="B306" s="157" t="s">
        <v>441</v>
      </c>
      <c r="C306" s="156">
        <v>26</v>
      </c>
      <c r="D306" s="157" t="s">
        <v>64</v>
      </c>
      <c r="E306" s="156">
        <v>34</v>
      </c>
      <c r="F306" s="157" t="s">
        <v>41</v>
      </c>
      <c r="G306" s="158">
        <v>48</v>
      </c>
      <c r="H306" s="158">
        <v>10900</v>
      </c>
      <c r="I306" s="158">
        <v>523200</v>
      </c>
      <c r="J306" s="158">
        <v>10000</v>
      </c>
      <c r="K306" s="158">
        <v>480000</v>
      </c>
      <c r="L306" s="158">
        <v>43200</v>
      </c>
      <c r="M306" s="159">
        <v>8.2568807339449504E-2</v>
      </c>
      <c r="N306" s="157" t="s">
        <v>321</v>
      </c>
    </row>
    <row r="307" spans="1:14">
      <c r="A307" s="156">
        <v>306</v>
      </c>
      <c r="B307" s="157" t="s">
        <v>441</v>
      </c>
      <c r="C307" s="156">
        <v>26</v>
      </c>
      <c r="D307" s="157" t="s">
        <v>64</v>
      </c>
      <c r="E307" s="156">
        <v>56</v>
      </c>
      <c r="F307" s="157" t="s">
        <v>341</v>
      </c>
      <c r="G307" s="158">
        <v>10</v>
      </c>
      <c r="H307" s="158">
        <v>38846</v>
      </c>
      <c r="I307" s="158">
        <v>388464</v>
      </c>
      <c r="J307" s="158">
        <v>29911</v>
      </c>
      <c r="K307" s="158">
        <v>299110</v>
      </c>
      <c r="L307" s="158">
        <v>89354.000000000102</v>
      </c>
      <c r="M307" s="159">
        <v>0.23001874047530799</v>
      </c>
      <c r="N307" s="157" t="s">
        <v>321</v>
      </c>
    </row>
    <row r="308" spans="1:14">
      <c r="A308" s="156">
        <v>307</v>
      </c>
      <c r="B308" s="157" t="s">
        <v>441</v>
      </c>
      <c r="C308" s="156">
        <v>26</v>
      </c>
      <c r="D308" s="157" t="s">
        <v>64</v>
      </c>
      <c r="E308" s="156">
        <v>89</v>
      </c>
      <c r="F308" s="157" t="s">
        <v>374</v>
      </c>
      <c r="G308" s="158">
        <v>1</v>
      </c>
      <c r="H308" s="158">
        <v>51818</v>
      </c>
      <c r="I308" s="158">
        <v>51818</v>
      </c>
      <c r="J308" s="158">
        <v>49227.272727272699</v>
      </c>
      <c r="K308" s="158">
        <v>49227.272727272699</v>
      </c>
      <c r="L308" s="158">
        <v>2590.7272727272798</v>
      </c>
      <c r="M308" s="159">
        <v>4.9996666654970802E-2</v>
      </c>
      <c r="N308" s="157" t="s">
        <v>321</v>
      </c>
    </row>
    <row r="309" spans="1:14">
      <c r="A309" s="156">
        <v>308</v>
      </c>
      <c r="B309" s="157" t="s">
        <v>440</v>
      </c>
      <c r="C309" s="156">
        <v>28</v>
      </c>
      <c r="D309" s="157" t="s">
        <v>65</v>
      </c>
      <c r="E309" s="156">
        <v>101</v>
      </c>
      <c r="F309" s="157" t="s">
        <v>386</v>
      </c>
      <c r="G309" s="158">
        <v>20</v>
      </c>
      <c r="H309" s="158">
        <v>65329</v>
      </c>
      <c r="I309" s="158">
        <v>1306582</v>
      </c>
      <c r="J309" s="158">
        <v>33318</v>
      </c>
      <c r="K309" s="158">
        <v>666360</v>
      </c>
      <c r="L309" s="158">
        <v>640222</v>
      </c>
      <c r="M309" s="159">
        <v>0.489997566168828</v>
      </c>
      <c r="N309" s="157" t="s">
        <v>321</v>
      </c>
    </row>
    <row r="310" spans="1:14">
      <c r="A310" s="156">
        <v>309</v>
      </c>
      <c r="B310" s="157" t="s">
        <v>440</v>
      </c>
      <c r="C310" s="156">
        <v>28</v>
      </c>
      <c r="D310" s="157" t="s">
        <v>65</v>
      </c>
      <c r="E310" s="156">
        <v>102</v>
      </c>
      <c r="F310" s="157" t="s">
        <v>387</v>
      </c>
      <c r="G310" s="158">
        <v>50</v>
      </c>
      <c r="H310" s="158">
        <v>71007</v>
      </c>
      <c r="I310" s="158">
        <v>3550364</v>
      </c>
      <c r="J310" s="158">
        <v>36213</v>
      </c>
      <c r="K310" s="158">
        <v>1810650</v>
      </c>
      <c r="L310" s="158">
        <v>1739714</v>
      </c>
      <c r="M310" s="159">
        <v>0.49001003840732898</v>
      </c>
      <c r="N310" s="157" t="s">
        <v>321</v>
      </c>
    </row>
    <row r="311" spans="1:14">
      <c r="A311" s="156">
        <v>310</v>
      </c>
      <c r="B311" s="157" t="s">
        <v>440</v>
      </c>
      <c r="C311" s="156">
        <v>28</v>
      </c>
      <c r="D311" s="157" t="s">
        <v>65</v>
      </c>
      <c r="E311" s="156">
        <v>104</v>
      </c>
      <c r="F311" s="157" t="s">
        <v>389</v>
      </c>
      <c r="G311" s="158">
        <v>30</v>
      </c>
      <c r="H311" s="158">
        <v>102087</v>
      </c>
      <c r="I311" s="158">
        <v>3062618</v>
      </c>
      <c r="J311" s="158">
        <v>52064</v>
      </c>
      <c r="K311" s="158">
        <v>1561920</v>
      </c>
      <c r="L311" s="158">
        <v>1500698</v>
      </c>
      <c r="M311" s="159">
        <v>0.49000495654371501</v>
      </c>
      <c r="N311" s="157" t="s">
        <v>321</v>
      </c>
    </row>
    <row r="312" spans="1:14">
      <c r="A312" s="156">
        <v>311</v>
      </c>
      <c r="B312" s="157" t="s">
        <v>440</v>
      </c>
      <c r="C312" s="156">
        <v>28</v>
      </c>
      <c r="D312" s="157" t="s">
        <v>65</v>
      </c>
      <c r="E312" s="156">
        <v>80</v>
      </c>
      <c r="F312" s="157" t="s">
        <v>365</v>
      </c>
      <c r="G312" s="158">
        <v>1</v>
      </c>
      <c r="H312" s="158">
        <v>23250</v>
      </c>
      <c r="I312" s="158">
        <v>23250</v>
      </c>
      <c r="J312" s="158">
        <v>20703.6363636364</v>
      </c>
      <c r="K312" s="158">
        <v>20703.6363636364</v>
      </c>
      <c r="L312" s="158">
        <v>2546.3636363636401</v>
      </c>
      <c r="M312" s="159">
        <v>0.109521016617791</v>
      </c>
      <c r="N312" s="157" t="s">
        <v>321</v>
      </c>
    </row>
    <row r="313" spans="1:14">
      <c r="A313" s="156">
        <v>312</v>
      </c>
      <c r="B313" s="157" t="s">
        <v>440</v>
      </c>
      <c r="C313" s="156">
        <v>28</v>
      </c>
      <c r="D313" s="157" t="s">
        <v>65</v>
      </c>
      <c r="E313" s="156">
        <v>116</v>
      </c>
      <c r="F313" s="157" t="s">
        <v>401</v>
      </c>
      <c r="G313" s="158">
        <v>6</v>
      </c>
      <c r="H313" s="158">
        <v>71818</v>
      </c>
      <c r="I313" s="158">
        <v>430909</v>
      </c>
      <c r="J313" s="158">
        <v>61045</v>
      </c>
      <c r="K313" s="158">
        <v>366270</v>
      </c>
      <c r="L313" s="158">
        <v>64639</v>
      </c>
      <c r="M313" s="159">
        <v>0.150006149790327</v>
      </c>
      <c r="N313" s="157" t="s">
        <v>321</v>
      </c>
    </row>
    <row r="314" spans="1:14">
      <c r="A314" s="156">
        <v>313</v>
      </c>
      <c r="B314" s="157" t="s">
        <v>440</v>
      </c>
      <c r="C314" s="156">
        <v>28</v>
      </c>
      <c r="D314" s="157" t="s">
        <v>65</v>
      </c>
      <c r="E314" s="156">
        <v>86</v>
      </c>
      <c r="F314" s="157" t="s">
        <v>371</v>
      </c>
      <c r="G314" s="158">
        <v>5</v>
      </c>
      <c r="H314" s="158">
        <v>41727</v>
      </c>
      <c r="I314" s="158">
        <v>208636</v>
      </c>
      <c r="J314" s="158">
        <v>38389</v>
      </c>
      <c r="K314" s="158">
        <v>191945</v>
      </c>
      <c r="L314" s="158">
        <v>16691</v>
      </c>
      <c r="M314" s="159">
        <v>8.0000575164401205E-2</v>
      </c>
      <c r="N314" s="157" t="s">
        <v>321</v>
      </c>
    </row>
    <row r="315" spans="1:14">
      <c r="A315" s="156">
        <v>314</v>
      </c>
      <c r="B315" s="157" t="s">
        <v>440</v>
      </c>
      <c r="C315" s="156">
        <v>28</v>
      </c>
      <c r="D315" s="157" t="s">
        <v>65</v>
      </c>
      <c r="E315" s="156">
        <v>74</v>
      </c>
      <c r="F315" s="157" t="s">
        <v>359</v>
      </c>
      <c r="G315" s="158">
        <v>7</v>
      </c>
      <c r="H315" s="158">
        <v>9636</v>
      </c>
      <c r="I315" s="158">
        <v>67455</v>
      </c>
      <c r="J315" s="158">
        <v>8865</v>
      </c>
      <c r="K315" s="158">
        <v>62055</v>
      </c>
      <c r="L315" s="158">
        <v>5400</v>
      </c>
      <c r="M315" s="159">
        <v>8.0053368912608405E-2</v>
      </c>
      <c r="N315" s="157" t="s">
        <v>321</v>
      </c>
    </row>
    <row r="316" spans="1:14">
      <c r="A316" s="156">
        <v>315</v>
      </c>
      <c r="B316" s="157" t="s">
        <v>440</v>
      </c>
      <c r="C316" s="156">
        <v>28</v>
      </c>
      <c r="D316" s="157" t="s">
        <v>65</v>
      </c>
      <c r="E316" s="156">
        <v>85</v>
      </c>
      <c r="F316" s="157" t="s">
        <v>370</v>
      </c>
      <c r="G316" s="158">
        <v>10</v>
      </c>
      <c r="H316" s="158">
        <v>19218</v>
      </c>
      <c r="I316" s="158">
        <v>192182</v>
      </c>
      <c r="J316" s="158">
        <v>18065</v>
      </c>
      <c r="K316" s="158">
        <v>180650</v>
      </c>
      <c r="L316" s="158">
        <v>11532</v>
      </c>
      <c r="M316" s="159">
        <v>6.0005619673018297E-2</v>
      </c>
      <c r="N316" s="157" t="s">
        <v>321</v>
      </c>
    </row>
    <row r="317" spans="1:14">
      <c r="A317" s="156">
        <v>316</v>
      </c>
      <c r="B317" s="157" t="s">
        <v>440</v>
      </c>
      <c r="C317" s="156">
        <v>28</v>
      </c>
      <c r="D317" s="157" t="s">
        <v>65</v>
      </c>
      <c r="E317" s="156">
        <v>87</v>
      </c>
      <c r="F317" s="157" t="s">
        <v>372</v>
      </c>
      <c r="G317" s="158">
        <v>3</v>
      </c>
      <c r="H317" s="158">
        <v>48636</v>
      </c>
      <c r="I317" s="158">
        <v>145909</v>
      </c>
      <c r="J317" s="158">
        <v>44745</v>
      </c>
      <c r="K317" s="158">
        <v>134235</v>
      </c>
      <c r="L317" s="158">
        <v>11674</v>
      </c>
      <c r="M317" s="159">
        <v>8.0008772591135605E-2</v>
      </c>
      <c r="N317" s="157" t="s">
        <v>321</v>
      </c>
    </row>
    <row r="318" spans="1:14">
      <c r="A318" s="156">
        <v>317</v>
      </c>
      <c r="B318" s="157" t="s">
        <v>440</v>
      </c>
      <c r="C318" s="156">
        <v>28</v>
      </c>
      <c r="D318" s="157" t="s">
        <v>65</v>
      </c>
      <c r="E318" s="156">
        <v>64</v>
      </c>
      <c r="F318" s="157" t="s">
        <v>349</v>
      </c>
      <c r="G318" s="158">
        <v>5</v>
      </c>
      <c r="H318" s="158">
        <v>52727</v>
      </c>
      <c r="I318" s="158">
        <v>263636</v>
      </c>
      <c r="J318" s="158">
        <v>44818</v>
      </c>
      <c r="K318" s="158">
        <v>224090</v>
      </c>
      <c r="L318" s="158">
        <v>39546</v>
      </c>
      <c r="M318" s="159">
        <v>0.15000227586520801</v>
      </c>
      <c r="N318" s="157" t="s">
        <v>321</v>
      </c>
    </row>
    <row r="319" spans="1:14">
      <c r="A319" s="156">
        <v>318</v>
      </c>
      <c r="B319" s="157" t="s">
        <v>440</v>
      </c>
      <c r="C319" s="156">
        <v>28</v>
      </c>
      <c r="D319" s="157" t="s">
        <v>65</v>
      </c>
      <c r="E319" s="156">
        <v>81</v>
      </c>
      <c r="F319" s="157" t="s">
        <v>366</v>
      </c>
      <c r="G319" s="158">
        <v>5</v>
      </c>
      <c r="H319" s="158">
        <v>21455</v>
      </c>
      <c r="I319" s="158">
        <v>107273</v>
      </c>
      <c r="J319" s="158">
        <v>19738</v>
      </c>
      <c r="K319" s="158">
        <v>98690</v>
      </c>
      <c r="L319" s="158">
        <v>8583</v>
      </c>
      <c r="M319" s="159">
        <v>8.0010813531829997E-2</v>
      </c>
      <c r="N319" s="157" t="s">
        <v>321</v>
      </c>
    </row>
    <row r="320" spans="1:14">
      <c r="A320" s="156">
        <v>319</v>
      </c>
      <c r="B320" s="157" t="s">
        <v>440</v>
      </c>
      <c r="C320" s="156">
        <v>28</v>
      </c>
      <c r="D320" s="157" t="s">
        <v>65</v>
      </c>
      <c r="E320" s="156">
        <v>109</v>
      </c>
      <c r="F320" s="157" t="s">
        <v>394</v>
      </c>
      <c r="G320" s="158">
        <v>20</v>
      </c>
      <c r="H320" s="158">
        <v>33000</v>
      </c>
      <c r="I320" s="158">
        <v>660000</v>
      </c>
      <c r="J320" s="158">
        <v>30360</v>
      </c>
      <c r="K320" s="158">
        <v>607200</v>
      </c>
      <c r="L320" s="158">
        <v>52800</v>
      </c>
      <c r="M320" s="159">
        <v>0.08</v>
      </c>
      <c r="N320" s="157" t="s">
        <v>321</v>
      </c>
    </row>
    <row r="321" spans="1:14">
      <c r="A321" s="156">
        <v>320</v>
      </c>
      <c r="B321" s="157" t="s">
        <v>440</v>
      </c>
      <c r="C321" s="156">
        <v>28</v>
      </c>
      <c r="D321" s="157" t="s">
        <v>65</v>
      </c>
      <c r="E321" s="156">
        <v>88</v>
      </c>
      <c r="F321" s="157" t="s">
        <v>373</v>
      </c>
      <c r="G321" s="158">
        <v>10</v>
      </c>
      <c r="H321" s="158">
        <v>23182</v>
      </c>
      <c r="I321" s="158">
        <v>231818</v>
      </c>
      <c r="J321" s="158">
        <v>17385.909090909099</v>
      </c>
      <c r="K321" s="158">
        <v>173859.090909091</v>
      </c>
      <c r="L321" s="158">
        <v>57958.909090909103</v>
      </c>
      <c r="M321" s="159">
        <v>0.25001901962276102</v>
      </c>
      <c r="N321" s="157" t="s">
        <v>321</v>
      </c>
    </row>
    <row r="322" spans="1:14">
      <c r="A322" s="156">
        <v>321</v>
      </c>
      <c r="B322" s="157" t="s">
        <v>440</v>
      </c>
      <c r="C322" s="156">
        <v>28</v>
      </c>
      <c r="D322" s="157" t="s">
        <v>65</v>
      </c>
      <c r="E322" s="156">
        <v>119</v>
      </c>
      <c r="F322" s="157" t="s">
        <v>404</v>
      </c>
      <c r="G322" s="158">
        <v>5</v>
      </c>
      <c r="H322" s="158">
        <v>33636</v>
      </c>
      <c r="I322" s="158">
        <v>168182</v>
      </c>
      <c r="J322" s="158">
        <v>31282</v>
      </c>
      <c r="K322" s="158">
        <v>156410</v>
      </c>
      <c r="L322" s="158">
        <v>11772</v>
      </c>
      <c r="M322" s="159">
        <v>6.9995600004756797E-2</v>
      </c>
      <c r="N322" s="157" t="s">
        <v>321</v>
      </c>
    </row>
    <row r="323" spans="1:14">
      <c r="A323" s="156">
        <v>322</v>
      </c>
      <c r="B323" s="157" t="s">
        <v>441</v>
      </c>
      <c r="C323" s="156">
        <v>28</v>
      </c>
      <c r="D323" s="157" t="s">
        <v>65</v>
      </c>
      <c r="E323" s="156">
        <v>101</v>
      </c>
      <c r="F323" s="157" t="s">
        <v>386</v>
      </c>
      <c r="G323" s="158">
        <v>15</v>
      </c>
      <c r="H323" s="158">
        <v>65329</v>
      </c>
      <c r="I323" s="158">
        <v>979936</v>
      </c>
      <c r="J323" s="158">
        <v>33318</v>
      </c>
      <c r="K323" s="158">
        <v>499770</v>
      </c>
      <c r="L323" s="158">
        <v>480166</v>
      </c>
      <c r="M323" s="159">
        <v>0.48999730594651097</v>
      </c>
      <c r="N323" s="157" t="s">
        <v>321</v>
      </c>
    </row>
    <row r="324" spans="1:14">
      <c r="A324" s="156">
        <v>323</v>
      </c>
      <c r="B324" s="157" t="s">
        <v>441</v>
      </c>
      <c r="C324" s="156">
        <v>28</v>
      </c>
      <c r="D324" s="157" t="s">
        <v>65</v>
      </c>
      <c r="E324" s="156">
        <v>102</v>
      </c>
      <c r="F324" s="157" t="s">
        <v>387</v>
      </c>
      <c r="G324" s="158">
        <v>40</v>
      </c>
      <c r="H324" s="158">
        <v>71007</v>
      </c>
      <c r="I324" s="158">
        <v>2840291</v>
      </c>
      <c r="J324" s="158">
        <v>36213</v>
      </c>
      <c r="K324" s="158">
        <v>1448520</v>
      </c>
      <c r="L324" s="158">
        <v>1391771</v>
      </c>
      <c r="M324" s="159">
        <v>0.49001000249622301</v>
      </c>
      <c r="N324" s="157" t="s">
        <v>321</v>
      </c>
    </row>
    <row r="325" spans="1:14">
      <c r="A325" s="156">
        <v>324</v>
      </c>
      <c r="B325" s="157" t="s">
        <v>441</v>
      </c>
      <c r="C325" s="156">
        <v>28</v>
      </c>
      <c r="D325" s="157" t="s">
        <v>65</v>
      </c>
      <c r="E325" s="156">
        <v>104</v>
      </c>
      <c r="F325" s="157" t="s">
        <v>389</v>
      </c>
      <c r="G325" s="158">
        <v>15</v>
      </c>
      <c r="H325" s="158">
        <v>102087</v>
      </c>
      <c r="I325" s="158">
        <v>1531309</v>
      </c>
      <c r="J325" s="158">
        <v>52064</v>
      </c>
      <c r="K325" s="158">
        <v>780960</v>
      </c>
      <c r="L325" s="158">
        <v>750349</v>
      </c>
      <c r="M325" s="159">
        <v>0.49000495654371501</v>
      </c>
      <c r="N325" s="157" t="s">
        <v>321</v>
      </c>
    </row>
    <row r="326" spans="1:14">
      <c r="A326" s="156">
        <v>325</v>
      </c>
      <c r="B326" s="157" t="s">
        <v>441</v>
      </c>
      <c r="C326" s="156">
        <v>28</v>
      </c>
      <c r="D326" s="157" t="s">
        <v>65</v>
      </c>
      <c r="E326" s="156">
        <v>63</v>
      </c>
      <c r="F326" s="157" t="s">
        <v>348</v>
      </c>
      <c r="G326" s="158">
        <v>10</v>
      </c>
      <c r="H326" s="158">
        <v>28309</v>
      </c>
      <c r="I326" s="158">
        <v>283091</v>
      </c>
      <c r="J326" s="158">
        <v>21231</v>
      </c>
      <c r="K326" s="158">
        <v>212310</v>
      </c>
      <c r="L326" s="158">
        <v>70781</v>
      </c>
      <c r="M326" s="159">
        <v>0.25002914257253001</v>
      </c>
      <c r="N326" s="157" t="s">
        <v>321</v>
      </c>
    </row>
    <row r="327" spans="1:14">
      <c r="A327" s="156">
        <v>326</v>
      </c>
      <c r="B327" s="157" t="s">
        <v>441</v>
      </c>
      <c r="C327" s="156">
        <v>28</v>
      </c>
      <c r="D327" s="157" t="s">
        <v>65</v>
      </c>
      <c r="E327" s="156">
        <v>120</v>
      </c>
      <c r="F327" s="157" t="s">
        <v>405</v>
      </c>
      <c r="G327" s="158">
        <v>10</v>
      </c>
      <c r="H327" s="158">
        <v>3273</v>
      </c>
      <c r="I327" s="158">
        <v>32727</v>
      </c>
      <c r="J327" s="158">
        <v>3076</v>
      </c>
      <c r="K327" s="158">
        <v>30760</v>
      </c>
      <c r="L327" s="158">
        <v>1967</v>
      </c>
      <c r="M327" s="159">
        <v>6.0103278638433101E-2</v>
      </c>
      <c r="N327" s="157" t="s">
        <v>321</v>
      </c>
    </row>
    <row r="328" spans="1:14">
      <c r="A328" s="156">
        <v>327</v>
      </c>
      <c r="B328" s="157" t="s">
        <v>441</v>
      </c>
      <c r="C328" s="156">
        <v>28</v>
      </c>
      <c r="D328" s="157" t="s">
        <v>65</v>
      </c>
      <c r="E328" s="156">
        <v>127</v>
      </c>
      <c r="F328" s="157" t="s">
        <v>412</v>
      </c>
      <c r="G328" s="158">
        <v>10</v>
      </c>
      <c r="H328" s="158">
        <v>28273</v>
      </c>
      <c r="I328" s="158">
        <v>282727</v>
      </c>
      <c r="J328" s="158">
        <v>26011</v>
      </c>
      <c r="K328" s="158">
        <v>260110</v>
      </c>
      <c r="L328" s="158">
        <v>22617</v>
      </c>
      <c r="M328" s="159">
        <v>7.9995897102151506E-2</v>
      </c>
      <c r="N328" s="157" t="s">
        <v>321</v>
      </c>
    </row>
    <row r="329" spans="1:14">
      <c r="A329" s="156">
        <v>328</v>
      </c>
      <c r="B329" s="157" t="s">
        <v>441</v>
      </c>
      <c r="C329" s="156">
        <v>28</v>
      </c>
      <c r="D329" s="157" t="s">
        <v>65</v>
      </c>
      <c r="E329" s="156">
        <v>115</v>
      </c>
      <c r="F329" s="157" t="s">
        <v>400</v>
      </c>
      <c r="G329" s="158">
        <v>5</v>
      </c>
      <c r="H329" s="158">
        <v>27818</v>
      </c>
      <c r="I329" s="158">
        <v>139091</v>
      </c>
      <c r="J329" s="158">
        <v>25871</v>
      </c>
      <c r="K329" s="158">
        <v>129355</v>
      </c>
      <c r="L329" s="158">
        <v>9736</v>
      </c>
      <c r="M329" s="159">
        <v>6.9997339871019706E-2</v>
      </c>
      <c r="N329" s="157" t="s">
        <v>321</v>
      </c>
    </row>
    <row r="330" spans="1:14">
      <c r="A330" s="156">
        <v>329</v>
      </c>
      <c r="B330" s="157" t="s">
        <v>441</v>
      </c>
      <c r="C330" s="156">
        <v>28</v>
      </c>
      <c r="D330" s="157" t="s">
        <v>65</v>
      </c>
      <c r="E330" s="156">
        <v>128</v>
      </c>
      <c r="F330" s="157" t="s">
        <v>413</v>
      </c>
      <c r="G330" s="158">
        <v>5</v>
      </c>
      <c r="H330" s="158">
        <v>29455</v>
      </c>
      <c r="I330" s="158">
        <v>147273</v>
      </c>
      <c r="J330" s="158">
        <v>26214</v>
      </c>
      <c r="K330" s="158">
        <v>131070</v>
      </c>
      <c r="L330" s="158">
        <v>16203</v>
      </c>
      <c r="M330" s="159">
        <v>0.110020166629321</v>
      </c>
      <c r="N330" s="157" t="s">
        <v>321</v>
      </c>
    </row>
    <row r="331" spans="1:14">
      <c r="A331" s="156">
        <v>330</v>
      </c>
      <c r="B331" s="157" t="s">
        <v>441</v>
      </c>
      <c r="C331" s="156">
        <v>28</v>
      </c>
      <c r="D331" s="157" t="s">
        <v>65</v>
      </c>
      <c r="E331" s="156">
        <v>125</v>
      </c>
      <c r="F331" s="157" t="s">
        <v>410</v>
      </c>
      <c r="G331" s="158">
        <v>20</v>
      </c>
      <c r="H331" s="158">
        <v>11556</v>
      </c>
      <c r="I331" s="158">
        <v>231127</v>
      </c>
      <c r="J331" s="158">
        <v>8667</v>
      </c>
      <c r="K331" s="158">
        <v>173340</v>
      </c>
      <c r="L331" s="158">
        <v>57787</v>
      </c>
      <c r="M331" s="159">
        <v>0.25002271478451199</v>
      </c>
      <c r="N331" s="157" t="s">
        <v>321</v>
      </c>
    </row>
    <row r="332" spans="1:14">
      <c r="A332" s="156">
        <v>331</v>
      </c>
      <c r="B332" s="157" t="s">
        <v>441</v>
      </c>
      <c r="C332" s="156">
        <v>28</v>
      </c>
      <c r="D332" s="157" t="s">
        <v>65</v>
      </c>
      <c r="E332" s="156">
        <v>53</v>
      </c>
      <c r="F332" s="157" t="s">
        <v>338</v>
      </c>
      <c r="G332" s="158">
        <v>1</v>
      </c>
      <c r="H332" s="158">
        <v>24818</v>
      </c>
      <c r="I332" s="158">
        <v>24818</v>
      </c>
      <c r="J332" s="158">
        <v>22833</v>
      </c>
      <c r="K332" s="158">
        <v>22833</v>
      </c>
      <c r="L332" s="158">
        <v>1985</v>
      </c>
      <c r="M332" s="159">
        <v>7.99822709323878E-2</v>
      </c>
      <c r="N332" s="157" t="s">
        <v>321</v>
      </c>
    </row>
    <row r="333" spans="1:14">
      <c r="A333" s="156">
        <v>332</v>
      </c>
      <c r="B333" s="157" t="s">
        <v>441</v>
      </c>
      <c r="C333" s="156">
        <v>28</v>
      </c>
      <c r="D333" s="157" t="s">
        <v>65</v>
      </c>
      <c r="E333" s="156">
        <v>80</v>
      </c>
      <c r="F333" s="157" t="s">
        <v>365</v>
      </c>
      <c r="G333" s="158">
        <v>1</v>
      </c>
      <c r="H333" s="158">
        <v>23250</v>
      </c>
      <c r="I333" s="158">
        <v>23250</v>
      </c>
      <c r="J333" s="158">
        <v>20703.6363636364</v>
      </c>
      <c r="K333" s="158">
        <v>20703.6363636364</v>
      </c>
      <c r="L333" s="158">
        <v>2546.3636363636401</v>
      </c>
      <c r="M333" s="159">
        <v>0.109521016617791</v>
      </c>
      <c r="N333" s="157" t="s">
        <v>321</v>
      </c>
    </row>
    <row r="334" spans="1:14">
      <c r="A334" s="156">
        <v>333</v>
      </c>
      <c r="B334" s="157" t="s">
        <v>441</v>
      </c>
      <c r="C334" s="156">
        <v>28</v>
      </c>
      <c r="D334" s="157" t="s">
        <v>65</v>
      </c>
      <c r="E334" s="156">
        <v>130</v>
      </c>
      <c r="F334" s="157" t="s">
        <v>415</v>
      </c>
      <c r="G334" s="158">
        <v>3</v>
      </c>
      <c r="H334" s="158">
        <v>56818</v>
      </c>
      <c r="I334" s="158">
        <v>170455</v>
      </c>
      <c r="J334" s="158">
        <v>52273</v>
      </c>
      <c r="K334" s="158">
        <v>156819</v>
      </c>
      <c r="L334" s="158">
        <v>13636</v>
      </c>
      <c r="M334" s="159">
        <v>7.9997653339591093E-2</v>
      </c>
      <c r="N334" s="157" t="s">
        <v>321</v>
      </c>
    </row>
    <row r="335" spans="1:14">
      <c r="A335" s="156">
        <v>334</v>
      </c>
      <c r="B335" s="157" t="s">
        <v>441</v>
      </c>
      <c r="C335" s="156">
        <v>28</v>
      </c>
      <c r="D335" s="157" t="s">
        <v>65</v>
      </c>
      <c r="E335" s="156">
        <v>129</v>
      </c>
      <c r="F335" s="157" t="s">
        <v>414</v>
      </c>
      <c r="G335" s="158">
        <v>2</v>
      </c>
      <c r="H335" s="158">
        <v>46818</v>
      </c>
      <c r="I335" s="158">
        <v>93636</v>
      </c>
      <c r="J335" s="158">
        <v>43073</v>
      </c>
      <c r="K335" s="158">
        <v>86146</v>
      </c>
      <c r="L335" s="158">
        <v>7490</v>
      </c>
      <c r="M335" s="159">
        <v>7.9990601905250105E-2</v>
      </c>
      <c r="N335" s="157" t="s">
        <v>321</v>
      </c>
    </row>
    <row r="336" spans="1:14">
      <c r="A336" s="156">
        <v>335</v>
      </c>
      <c r="B336" s="157" t="s">
        <v>441</v>
      </c>
      <c r="C336" s="156">
        <v>27</v>
      </c>
      <c r="D336" s="157" t="s">
        <v>66</v>
      </c>
      <c r="E336" s="156">
        <v>2</v>
      </c>
      <c r="F336" s="157" t="s">
        <v>335</v>
      </c>
      <c r="G336" s="158">
        <v>40</v>
      </c>
      <c r="H336" s="158">
        <v>76773</v>
      </c>
      <c r="I336" s="158">
        <v>3070909</v>
      </c>
      <c r="J336" s="158">
        <v>30709.090909090901</v>
      </c>
      <c r="K336" s="158">
        <v>1228363.63636364</v>
      </c>
      <c r="L336" s="158">
        <v>1842545.36363636</v>
      </c>
      <c r="M336" s="159">
        <v>0.59999998815867395</v>
      </c>
      <c r="N336" s="157" t="s">
        <v>323</v>
      </c>
    </row>
    <row r="337" spans="1:14">
      <c r="A337" s="156">
        <v>336</v>
      </c>
      <c r="B337" s="157" t="s">
        <v>441</v>
      </c>
      <c r="C337" s="156">
        <v>27</v>
      </c>
      <c r="D337" s="157" t="s">
        <v>66</v>
      </c>
      <c r="E337" s="156">
        <v>124</v>
      </c>
      <c r="F337" s="157" t="s">
        <v>409</v>
      </c>
      <c r="G337" s="158">
        <v>20</v>
      </c>
      <c r="H337" s="158">
        <v>80727</v>
      </c>
      <c r="I337" s="158">
        <v>1614545</v>
      </c>
      <c r="J337" s="158">
        <v>48436</v>
      </c>
      <c r="K337" s="158">
        <v>968720</v>
      </c>
      <c r="L337" s="158">
        <v>645825</v>
      </c>
      <c r="M337" s="159">
        <v>0.40000433558680598</v>
      </c>
      <c r="N337" s="157" t="s">
        <v>323</v>
      </c>
    </row>
    <row r="338" spans="1:14">
      <c r="A338" s="156">
        <v>337</v>
      </c>
      <c r="B338" s="157" t="s">
        <v>440</v>
      </c>
      <c r="C338" s="156">
        <v>29</v>
      </c>
      <c r="D338" s="157" t="s">
        <v>67</v>
      </c>
      <c r="E338" s="156">
        <v>42</v>
      </c>
      <c r="F338" s="157" t="s">
        <v>1</v>
      </c>
      <c r="G338" s="158">
        <v>800</v>
      </c>
      <c r="H338" s="158">
        <v>4964</v>
      </c>
      <c r="I338" s="158">
        <v>3970909</v>
      </c>
      <c r="J338" s="158">
        <v>3600</v>
      </c>
      <c r="K338" s="158">
        <v>2880000</v>
      </c>
      <c r="L338" s="158">
        <v>1090909</v>
      </c>
      <c r="M338" s="159">
        <v>0.27472525812100002</v>
      </c>
      <c r="N338" s="157" t="s">
        <v>325</v>
      </c>
    </row>
    <row r="339" spans="1:14">
      <c r="A339" s="156">
        <v>338</v>
      </c>
      <c r="B339" s="157" t="s">
        <v>440</v>
      </c>
      <c r="C339" s="156">
        <v>29</v>
      </c>
      <c r="D339" s="157" t="s">
        <v>67</v>
      </c>
      <c r="E339" s="156">
        <v>118</v>
      </c>
      <c r="F339" s="157" t="s">
        <v>403</v>
      </c>
      <c r="G339" s="158">
        <v>80</v>
      </c>
      <c r="H339" s="158">
        <v>8439</v>
      </c>
      <c r="I339" s="158">
        <v>675127</v>
      </c>
      <c r="J339" s="158">
        <v>6750</v>
      </c>
      <c r="K339" s="158">
        <v>540000</v>
      </c>
      <c r="L339" s="158">
        <v>135127</v>
      </c>
      <c r="M339" s="159">
        <v>0.200150490204065</v>
      </c>
      <c r="N339" s="157" t="s">
        <v>325</v>
      </c>
    </row>
    <row r="340" spans="1:14">
      <c r="A340" s="156">
        <v>339</v>
      </c>
      <c r="B340" s="157" t="s">
        <v>440</v>
      </c>
      <c r="C340" s="156">
        <v>29</v>
      </c>
      <c r="D340" s="157" t="s">
        <v>67</v>
      </c>
      <c r="E340" s="156">
        <v>92</v>
      </c>
      <c r="F340" s="157" t="s">
        <v>377</v>
      </c>
      <c r="G340" s="158">
        <v>400</v>
      </c>
      <c r="H340" s="158">
        <v>8194</v>
      </c>
      <c r="I340" s="158">
        <v>3277455</v>
      </c>
      <c r="J340" s="158">
        <v>6555</v>
      </c>
      <c r="K340" s="158">
        <v>2622000</v>
      </c>
      <c r="L340" s="158">
        <v>655455</v>
      </c>
      <c r="M340" s="159">
        <v>0.19998901586749501</v>
      </c>
      <c r="N340" s="157" t="s">
        <v>325</v>
      </c>
    </row>
    <row r="341" spans="1:14">
      <c r="A341" s="156">
        <v>340</v>
      </c>
      <c r="B341" s="157" t="s">
        <v>440</v>
      </c>
      <c r="C341" s="156">
        <v>29</v>
      </c>
      <c r="D341" s="157" t="s">
        <v>67</v>
      </c>
      <c r="E341" s="156">
        <v>110</v>
      </c>
      <c r="F341" s="157" t="s">
        <v>395</v>
      </c>
      <c r="G341" s="158">
        <v>15</v>
      </c>
      <c r="H341" s="158">
        <v>64800</v>
      </c>
      <c r="I341" s="158">
        <v>972000</v>
      </c>
      <c r="J341" s="158">
        <v>45360</v>
      </c>
      <c r="K341" s="158">
        <v>680400</v>
      </c>
      <c r="L341" s="158">
        <v>291600</v>
      </c>
      <c r="M341" s="159">
        <v>0.3</v>
      </c>
      <c r="N341" s="157" t="s">
        <v>325</v>
      </c>
    </row>
    <row r="342" spans="1:14">
      <c r="A342" s="156">
        <v>341</v>
      </c>
      <c r="B342" s="157" t="s">
        <v>440</v>
      </c>
      <c r="C342" s="156">
        <v>29</v>
      </c>
      <c r="D342" s="157" t="s">
        <v>67</v>
      </c>
      <c r="E342" s="156">
        <v>117</v>
      </c>
      <c r="F342" s="157" t="s">
        <v>402</v>
      </c>
      <c r="G342" s="158">
        <v>1</v>
      </c>
      <c r="H342" s="158">
        <v>116091</v>
      </c>
      <c r="I342" s="158">
        <v>116091</v>
      </c>
      <c r="J342" s="158">
        <v>58045</v>
      </c>
      <c r="K342" s="158">
        <v>58045</v>
      </c>
      <c r="L342" s="158">
        <v>58046</v>
      </c>
      <c r="M342" s="159">
        <v>0.500004306966087</v>
      </c>
      <c r="N342" s="157" t="s">
        <v>325</v>
      </c>
    </row>
    <row r="343" spans="1:14">
      <c r="A343" s="156">
        <v>342</v>
      </c>
      <c r="B343" s="157" t="s">
        <v>441</v>
      </c>
      <c r="C343" s="156">
        <v>29</v>
      </c>
      <c r="D343" s="157" t="s">
        <v>67</v>
      </c>
      <c r="E343" s="156">
        <v>42</v>
      </c>
      <c r="F343" s="157" t="s">
        <v>1</v>
      </c>
      <c r="G343" s="158">
        <v>640</v>
      </c>
      <c r="H343" s="158">
        <v>4964</v>
      </c>
      <c r="I343" s="158">
        <v>3176727</v>
      </c>
      <c r="J343" s="158">
        <v>3600</v>
      </c>
      <c r="K343" s="158">
        <v>2304000</v>
      </c>
      <c r="L343" s="158">
        <v>872727</v>
      </c>
      <c r="M343" s="159">
        <v>0.27472521245923898</v>
      </c>
      <c r="N343" s="157" t="s">
        <v>325</v>
      </c>
    </row>
    <row r="344" spans="1:14">
      <c r="A344" s="156">
        <v>343</v>
      </c>
      <c r="B344" s="157" t="s">
        <v>441</v>
      </c>
      <c r="C344" s="156">
        <v>29</v>
      </c>
      <c r="D344" s="157" t="s">
        <v>67</v>
      </c>
      <c r="E344" s="156">
        <v>118</v>
      </c>
      <c r="F344" s="157" t="s">
        <v>403</v>
      </c>
      <c r="G344" s="158">
        <v>100</v>
      </c>
      <c r="H344" s="158">
        <v>8439</v>
      </c>
      <c r="I344" s="158">
        <v>843909</v>
      </c>
      <c r="J344" s="158">
        <v>6750</v>
      </c>
      <c r="K344" s="158">
        <v>675000</v>
      </c>
      <c r="L344" s="158">
        <v>168909</v>
      </c>
      <c r="M344" s="159">
        <v>0.200150727151861</v>
      </c>
      <c r="N344" s="157" t="s">
        <v>325</v>
      </c>
    </row>
    <row r="345" spans="1:14">
      <c r="A345" s="156">
        <v>344</v>
      </c>
      <c r="B345" s="157" t="s">
        <v>441</v>
      </c>
      <c r="C345" s="156">
        <v>29</v>
      </c>
      <c r="D345" s="157" t="s">
        <v>67</v>
      </c>
      <c r="E345" s="156">
        <v>92</v>
      </c>
      <c r="F345" s="157" t="s">
        <v>377</v>
      </c>
      <c r="G345" s="158">
        <v>300</v>
      </c>
      <c r="H345" s="158">
        <v>8194</v>
      </c>
      <c r="I345" s="158">
        <v>2458091</v>
      </c>
      <c r="J345" s="158">
        <v>6555</v>
      </c>
      <c r="K345" s="158">
        <v>1966500</v>
      </c>
      <c r="L345" s="158">
        <v>491591</v>
      </c>
      <c r="M345" s="159">
        <v>0.199988934502425</v>
      </c>
      <c r="N345" s="157" t="s">
        <v>325</v>
      </c>
    </row>
    <row r="346" spans="1:14">
      <c r="A346" s="156">
        <v>345</v>
      </c>
      <c r="B346" s="157" t="s">
        <v>441</v>
      </c>
      <c r="C346" s="156">
        <v>29</v>
      </c>
      <c r="D346" s="157" t="s">
        <v>67</v>
      </c>
      <c r="E346" s="156">
        <v>110</v>
      </c>
      <c r="F346" s="157" t="s">
        <v>395</v>
      </c>
      <c r="G346" s="158">
        <v>15</v>
      </c>
      <c r="H346" s="158">
        <v>64800</v>
      </c>
      <c r="I346" s="158">
        <v>972000</v>
      </c>
      <c r="J346" s="158">
        <v>45360</v>
      </c>
      <c r="K346" s="158">
        <v>680400</v>
      </c>
      <c r="L346" s="158">
        <v>291600</v>
      </c>
      <c r="M346" s="159">
        <v>0.3</v>
      </c>
      <c r="N346" s="157" t="s">
        <v>325</v>
      </c>
    </row>
    <row r="347" spans="1:14">
      <c r="A347" s="156">
        <v>346</v>
      </c>
      <c r="B347" s="157" t="s">
        <v>440</v>
      </c>
      <c r="C347" s="156">
        <v>35</v>
      </c>
      <c r="D347" s="157" t="s">
        <v>68</v>
      </c>
      <c r="E347" s="156">
        <v>131</v>
      </c>
      <c r="F347" s="157" t="s">
        <v>416</v>
      </c>
      <c r="G347" s="158">
        <v>105</v>
      </c>
      <c r="H347" s="158">
        <v>11475</v>
      </c>
      <c r="I347" s="158">
        <v>1204923</v>
      </c>
      <c r="J347" s="158">
        <v>9525</v>
      </c>
      <c r="K347" s="158">
        <v>1000125</v>
      </c>
      <c r="L347" s="158">
        <v>204798</v>
      </c>
      <c r="M347" s="159">
        <v>0.16996770748006301</v>
      </c>
      <c r="N347" s="157" t="s">
        <v>325</v>
      </c>
    </row>
    <row r="348" spans="1:14">
      <c r="A348" s="156">
        <v>347</v>
      </c>
      <c r="B348" s="157" t="s">
        <v>440</v>
      </c>
      <c r="C348" s="156">
        <v>35</v>
      </c>
      <c r="D348" s="157" t="s">
        <v>68</v>
      </c>
      <c r="E348" s="156">
        <v>134</v>
      </c>
      <c r="F348" s="157" t="s">
        <v>419</v>
      </c>
      <c r="G348" s="158">
        <v>105</v>
      </c>
      <c r="H348" s="158">
        <v>11023</v>
      </c>
      <c r="I348" s="158">
        <v>1157386</v>
      </c>
      <c r="J348" s="158">
        <v>9149</v>
      </c>
      <c r="K348" s="158">
        <v>960645</v>
      </c>
      <c r="L348" s="158">
        <v>196741</v>
      </c>
      <c r="M348" s="159">
        <v>0.16998736808636</v>
      </c>
      <c r="N348" s="157" t="s">
        <v>325</v>
      </c>
    </row>
    <row r="349" spans="1:14">
      <c r="A349" s="156">
        <v>348</v>
      </c>
      <c r="B349" s="157" t="s">
        <v>440</v>
      </c>
      <c r="C349" s="156">
        <v>35</v>
      </c>
      <c r="D349" s="157" t="s">
        <v>68</v>
      </c>
      <c r="E349" s="156">
        <v>136</v>
      </c>
      <c r="F349" s="157" t="s">
        <v>421</v>
      </c>
      <c r="G349" s="158">
        <v>10</v>
      </c>
      <c r="H349" s="158">
        <v>8439</v>
      </c>
      <c r="I349" s="158">
        <v>84391</v>
      </c>
      <c r="J349" s="158">
        <v>7005</v>
      </c>
      <c r="K349" s="158">
        <v>70050</v>
      </c>
      <c r="L349" s="158">
        <v>14341</v>
      </c>
      <c r="M349" s="159">
        <v>0.169935182661658</v>
      </c>
      <c r="N349" s="157" t="s">
        <v>325</v>
      </c>
    </row>
    <row r="350" spans="1:14">
      <c r="A350" s="156">
        <v>349</v>
      </c>
      <c r="B350" s="157" t="s">
        <v>440</v>
      </c>
      <c r="C350" s="156">
        <v>35</v>
      </c>
      <c r="D350" s="157" t="s">
        <v>68</v>
      </c>
      <c r="E350" s="156">
        <v>58</v>
      </c>
      <c r="F350" s="157" t="s">
        <v>343</v>
      </c>
      <c r="G350" s="158">
        <v>10</v>
      </c>
      <c r="H350" s="158">
        <v>17711</v>
      </c>
      <c r="I350" s="158">
        <v>177109</v>
      </c>
      <c r="J350" s="158">
        <v>13637</v>
      </c>
      <c r="K350" s="158">
        <v>136370</v>
      </c>
      <c r="L350" s="158">
        <v>40739</v>
      </c>
      <c r="M350" s="159">
        <v>0.23002218972497199</v>
      </c>
      <c r="N350" s="157" t="s">
        <v>325</v>
      </c>
    </row>
    <row r="351" spans="1:14">
      <c r="A351" s="156">
        <v>350</v>
      </c>
      <c r="B351" s="157" t="s">
        <v>440</v>
      </c>
      <c r="C351" s="156">
        <v>35</v>
      </c>
      <c r="D351" s="157" t="s">
        <v>68</v>
      </c>
      <c r="E351" s="156">
        <v>60</v>
      </c>
      <c r="F351" s="157" t="s">
        <v>345</v>
      </c>
      <c r="G351" s="158">
        <v>20</v>
      </c>
      <c r="H351" s="158">
        <v>25740</v>
      </c>
      <c r="I351" s="158">
        <v>514800</v>
      </c>
      <c r="J351" s="158">
        <v>19820</v>
      </c>
      <c r="K351" s="158">
        <v>396400</v>
      </c>
      <c r="L351" s="158">
        <v>118400</v>
      </c>
      <c r="M351" s="159">
        <v>0.22999222999223001</v>
      </c>
      <c r="N351" s="157" t="s">
        <v>325</v>
      </c>
    </row>
    <row r="352" spans="1:14">
      <c r="A352" s="156">
        <v>351</v>
      </c>
      <c r="B352" s="157" t="s">
        <v>440</v>
      </c>
      <c r="C352" s="156">
        <v>35</v>
      </c>
      <c r="D352" s="157" t="s">
        <v>68</v>
      </c>
      <c r="E352" s="156">
        <v>107</v>
      </c>
      <c r="F352" s="157" t="s">
        <v>392</v>
      </c>
      <c r="G352" s="158">
        <v>250</v>
      </c>
      <c r="H352" s="158">
        <v>1504</v>
      </c>
      <c r="I352" s="158">
        <v>375909</v>
      </c>
      <c r="J352" s="158">
        <v>1368</v>
      </c>
      <c r="K352" s="158">
        <v>342000</v>
      </c>
      <c r="L352" s="158">
        <v>33909</v>
      </c>
      <c r="M352" s="159">
        <v>9.0205342250385095E-2</v>
      </c>
      <c r="N352" s="157" t="s">
        <v>325</v>
      </c>
    </row>
    <row r="353" spans="1:14">
      <c r="A353" s="156">
        <v>352</v>
      </c>
      <c r="B353" s="157" t="s">
        <v>440</v>
      </c>
      <c r="C353" s="156">
        <v>35</v>
      </c>
      <c r="D353" s="157" t="s">
        <v>68</v>
      </c>
      <c r="E353" s="156">
        <v>113</v>
      </c>
      <c r="F353" s="157" t="s">
        <v>398</v>
      </c>
      <c r="G353" s="158">
        <v>60</v>
      </c>
      <c r="H353" s="158">
        <v>1206</v>
      </c>
      <c r="I353" s="158">
        <v>72382</v>
      </c>
      <c r="J353" s="158">
        <v>1097</v>
      </c>
      <c r="K353" s="158">
        <v>65820</v>
      </c>
      <c r="L353" s="158">
        <v>6562</v>
      </c>
      <c r="M353" s="159">
        <v>9.0657898372523596E-2</v>
      </c>
      <c r="N353" s="157" t="s">
        <v>325</v>
      </c>
    </row>
    <row r="354" spans="1:14">
      <c r="A354" s="156">
        <v>353</v>
      </c>
      <c r="B354" s="157" t="s">
        <v>440</v>
      </c>
      <c r="C354" s="156">
        <v>35</v>
      </c>
      <c r="D354" s="157" t="s">
        <v>68</v>
      </c>
      <c r="E354" s="156">
        <v>99</v>
      </c>
      <c r="F354" s="157" t="s">
        <v>384</v>
      </c>
      <c r="G354" s="158">
        <v>5</v>
      </c>
      <c r="H354" s="158">
        <v>108115</v>
      </c>
      <c r="I354" s="158">
        <v>540573</v>
      </c>
      <c r="J354" s="158">
        <v>54060</v>
      </c>
      <c r="K354" s="158">
        <v>270300</v>
      </c>
      <c r="L354" s="158">
        <v>270273</v>
      </c>
      <c r="M354" s="159">
        <v>0.49997502649965903</v>
      </c>
      <c r="N354" s="157" t="s">
        <v>325</v>
      </c>
    </row>
    <row r="355" spans="1:14">
      <c r="A355" s="156">
        <v>354</v>
      </c>
      <c r="B355" s="157" t="s">
        <v>440</v>
      </c>
      <c r="C355" s="156">
        <v>35</v>
      </c>
      <c r="D355" s="157" t="s">
        <v>68</v>
      </c>
      <c r="E355" s="156">
        <v>98</v>
      </c>
      <c r="F355" s="157" t="s">
        <v>383</v>
      </c>
      <c r="G355" s="158">
        <v>7</v>
      </c>
      <c r="H355" s="158">
        <v>87065</v>
      </c>
      <c r="I355" s="158">
        <v>609458</v>
      </c>
      <c r="J355" s="158">
        <v>43530</v>
      </c>
      <c r="K355" s="158">
        <v>304710</v>
      </c>
      <c r="L355" s="158">
        <v>304748</v>
      </c>
      <c r="M355" s="159">
        <v>0.50003117524095197</v>
      </c>
      <c r="N355" s="157" t="s">
        <v>325</v>
      </c>
    </row>
    <row r="356" spans="1:14">
      <c r="A356" s="156">
        <v>355</v>
      </c>
      <c r="B356" s="157" t="s">
        <v>440</v>
      </c>
      <c r="C356" s="156">
        <v>35</v>
      </c>
      <c r="D356" s="157" t="s">
        <v>68</v>
      </c>
      <c r="E356" s="156">
        <v>97</v>
      </c>
      <c r="F356" s="157" t="s">
        <v>382</v>
      </c>
      <c r="G356" s="158">
        <v>3</v>
      </c>
      <c r="H356" s="158">
        <v>73658</v>
      </c>
      <c r="I356" s="158">
        <v>220975</v>
      </c>
      <c r="J356" s="158">
        <v>43530</v>
      </c>
      <c r="K356" s="158">
        <v>130590</v>
      </c>
      <c r="L356" s="158">
        <v>90385</v>
      </c>
      <c r="M356" s="159">
        <v>0.40902817060753499</v>
      </c>
      <c r="N356" s="157" t="s">
        <v>325</v>
      </c>
    </row>
    <row r="357" spans="1:14">
      <c r="A357" s="156">
        <v>356</v>
      </c>
      <c r="B357" s="157" t="s">
        <v>440</v>
      </c>
      <c r="C357" s="156">
        <v>35</v>
      </c>
      <c r="D357" s="157" t="s">
        <v>68</v>
      </c>
      <c r="E357" s="156">
        <v>96</v>
      </c>
      <c r="F357" s="157" t="s">
        <v>381</v>
      </c>
      <c r="G357" s="158">
        <v>1</v>
      </c>
      <c r="H357" s="158">
        <v>66660</v>
      </c>
      <c r="I357" s="158">
        <v>66660</v>
      </c>
      <c r="J357" s="158">
        <v>33330</v>
      </c>
      <c r="K357" s="158">
        <v>33330</v>
      </c>
      <c r="L357" s="158">
        <v>33330</v>
      </c>
      <c r="M357" s="159">
        <v>0.5</v>
      </c>
      <c r="N357" s="157" t="s">
        <v>325</v>
      </c>
    </row>
    <row r="358" spans="1:14">
      <c r="A358" s="156">
        <v>357</v>
      </c>
      <c r="B358" s="157" t="s">
        <v>440</v>
      </c>
      <c r="C358" s="156">
        <v>35</v>
      </c>
      <c r="D358" s="157" t="s">
        <v>68</v>
      </c>
      <c r="E358" s="156">
        <v>100</v>
      </c>
      <c r="F358" s="157" t="s">
        <v>385</v>
      </c>
      <c r="G358" s="158">
        <v>1</v>
      </c>
      <c r="H358" s="158">
        <v>43544</v>
      </c>
      <c r="I358" s="158">
        <v>43544</v>
      </c>
      <c r="J358" s="158">
        <v>21774</v>
      </c>
      <c r="K358" s="158">
        <v>21774</v>
      </c>
      <c r="L358" s="158">
        <v>21770</v>
      </c>
      <c r="M358" s="159">
        <v>0.499954069446996</v>
      </c>
      <c r="N358" s="157" t="s">
        <v>325</v>
      </c>
    </row>
    <row r="359" spans="1:14">
      <c r="A359" s="156">
        <v>358</v>
      </c>
      <c r="B359" s="157" t="s">
        <v>441</v>
      </c>
      <c r="C359" s="156">
        <v>35</v>
      </c>
      <c r="D359" s="157" t="s">
        <v>68</v>
      </c>
      <c r="E359" s="156">
        <v>131</v>
      </c>
      <c r="F359" s="157" t="s">
        <v>416</v>
      </c>
      <c r="G359" s="158">
        <v>140</v>
      </c>
      <c r="H359" s="158">
        <v>11475</v>
      </c>
      <c r="I359" s="158">
        <v>1606564</v>
      </c>
      <c r="J359" s="158">
        <v>9525</v>
      </c>
      <c r="K359" s="158">
        <v>1333500</v>
      </c>
      <c r="L359" s="158">
        <v>273064</v>
      </c>
      <c r="M359" s="159">
        <v>0.16996770748006301</v>
      </c>
      <c r="N359" s="157" t="s">
        <v>325</v>
      </c>
    </row>
    <row r="360" spans="1:14">
      <c r="A360" s="156">
        <v>359</v>
      </c>
      <c r="B360" s="157" t="s">
        <v>441</v>
      </c>
      <c r="C360" s="156">
        <v>35</v>
      </c>
      <c r="D360" s="157" t="s">
        <v>68</v>
      </c>
      <c r="E360" s="156">
        <v>134</v>
      </c>
      <c r="F360" s="157" t="s">
        <v>419</v>
      </c>
      <c r="G360" s="158">
        <v>140</v>
      </c>
      <c r="H360" s="158">
        <v>11023</v>
      </c>
      <c r="I360" s="158">
        <v>1543182</v>
      </c>
      <c r="J360" s="158">
        <v>9149</v>
      </c>
      <c r="K360" s="158">
        <v>1280860</v>
      </c>
      <c r="L360" s="158">
        <v>262322</v>
      </c>
      <c r="M360" s="159">
        <v>0.16998772665829401</v>
      </c>
      <c r="N360" s="157" t="s">
        <v>325</v>
      </c>
    </row>
    <row r="361" spans="1:14">
      <c r="A361" s="156">
        <v>360</v>
      </c>
      <c r="B361" s="157" t="s">
        <v>441</v>
      </c>
      <c r="C361" s="156">
        <v>35</v>
      </c>
      <c r="D361" s="157" t="s">
        <v>68</v>
      </c>
      <c r="E361" s="156">
        <v>136</v>
      </c>
      <c r="F361" s="157" t="s">
        <v>421</v>
      </c>
      <c r="G361" s="158">
        <v>15</v>
      </c>
      <c r="H361" s="158">
        <v>8439</v>
      </c>
      <c r="I361" s="158">
        <v>126586</v>
      </c>
      <c r="J361" s="158">
        <v>7005</v>
      </c>
      <c r="K361" s="158">
        <v>105075</v>
      </c>
      <c r="L361" s="158">
        <v>21511</v>
      </c>
      <c r="M361" s="159">
        <v>0.16993190400202199</v>
      </c>
      <c r="N361" s="157" t="s">
        <v>325</v>
      </c>
    </row>
    <row r="362" spans="1:14">
      <c r="A362" s="156">
        <v>361</v>
      </c>
      <c r="B362" s="157" t="s">
        <v>441</v>
      </c>
      <c r="C362" s="156">
        <v>35</v>
      </c>
      <c r="D362" s="157" t="s">
        <v>68</v>
      </c>
      <c r="E362" s="156">
        <v>107</v>
      </c>
      <c r="F362" s="157" t="s">
        <v>392</v>
      </c>
      <c r="G362" s="158">
        <v>350</v>
      </c>
      <c r="H362" s="158">
        <v>1504</v>
      </c>
      <c r="I362" s="158">
        <v>526273</v>
      </c>
      <c r="J362" s="158">
        <v>1368</v>
      </c>
      <c r="K362" s="158">
        <v>478800</v>
      </c>
      <c r="L362" s="158">
        <v>47473</v>
      </c>
      <c r="M362" s="159">
        <v>9.0206033750543896E-2</v>
      </c>
      <c r="N362" s="157" t="s">
        <v>325</v>
      </c>
    </row>
    <row r="363" spans="1:14">
      <c r="A363" s="156">
        <v>362</v>
      </c>
      <c r="B363" s="157" t="s">
        <v>441</v>
      </c>
      <c r="C363" s="156">
        <v>35</v>
      </c>
      <c r="D363" s="157" t="s">
        <v>68</v>
      </c>
      <c r="E363" s="156">
        <v>99</v>
      </c>
      <c r="F363" s="157" t="s">
        <v>384</v>
      </c>
      <c r="G363" s="158">
        <v>15</v>
      </c>
      <c r="H363" s="158">
        <v>108115</v>
      </c>
      <c r="I363" s="158">
        <v>1621718</v>
      </c>
      <c r="J363" s="158">
        <v>54060</v>
      </c>
      <c r="K363" s="158">
        <v>810900</v>
      </c>
      <c r="L363" s="158">
        <v>810818</v>
      </c>
      <c r="M363" s="159">
        <v>0.49997471816924999</v>
      </c>
      <c r="N363" s="157" t="s">
        <v>325</v>
      </c>
    </row>
    <row r="364" spans="1:14">
      <c r="A364" s="156">
        <v>363</v>
      </c>
      <c r="B364" s="157" t="s">
        <v>441</v>
      </c>
      <c r="C364" s="156">
        <v>35</v>
      </c>
      <c r="D364" s="157" t="s">
        <v>68</v>
      </c>
      <c r="E364" s="156">
        <v>98</v>
      </c>
      <c r="F364" s="157" t="s">
        <v>383</v>
      </c>
      <c r="G364" s="158">
        <v>9</v>
      </c>
      <c r="H364" s="158">
        <v>87065</v>
      </c>
      <c r="I364" s="158">
        <v>783589</v>
      </c>
      <c r="J364" s="158">
        <v>43530</v>
      </c>
      <c r="K364" s="158">
        <v>391770</v>
      </c>
      <c r="L364" s="158">
        <v>391819</v>
      </c>
      <c r="M364" s="159">
        <v>0.50003126639092699</v>
      </c>
      <c r="N364" s="157" t="s">
        <v>325</v>
      </c>
    </row>
    <row r="365" spans="1:14">
      <c r="A365" s="156">
        <v>364</v>
      </c>
      <c r="B365" s="157" t="s">
        <v>441</v>
      </c>
      <c r="C365" s="156">
        <v>35</v>
      </c>
      <c r="D365" s="157" t="s">
        <v>68</v>
      </c>
      <c r="E365" s="156">
        <v>97</v>
      </c>
      <c r="F365" s="157" t="s">
        <v>382</v>
      </c>
      <c r="G365" s="158">
        <v>3</v>
      </c>
      <c r="H365" s="158">
        <v>73658</v>
      </c>
      <c r="I365" s="158">
        <v>220975</v>
      </c>
      <c r="J365" s="158">
        <v>43530</v>
      </c>
      <c r="K365" s="158">
        <v>130590</v>
      </c>
      <c r="L365" s="158">
        <v>90385</v>
      </c>
      <c r="M365" s="159">
        <v>0.40902817060753499</v>
      </c>
      <c r="N365" s="157" t="s">
        <v>325</v>
      </c>
    </row>
    <row r="366" spans="1:14">
      <c r="A366" s="156">
        <v>365</v>
      </c>
      <c r="B366" s="157" t="s">
        <v>440</v>
      </c>
      <c r="C366" s="156">
        <v>3</v>
      </c>
      <c r="D366" s="157" t="s">
        <v>69</v>
      </c>
      <c r="E366" s="156">
        <v>84</v>
      </c>
      <c r="F366" s="157" t="s">
        <v>369</v>
      </c>
      <c r="G366" s="158">
        <v>20</v>
      </c>
      <c r="H366" s="158">
        <v>61056</v>
      </c>
      <c r="I366" s="158">
        <v>1221127</v>
      </c>
      <c r="J366" s="158">
        <v>41629.1090909091</v>
      </c>
      <c r="K366" s="158">
        <v>832582.181818182</v>
      </c>
      <c r="L366" s="158">
        <v>388544.818181818</v>
      </c>
      <c r="M366" s="159">
        <v>0.31818542885532702</v>
      </c>
      <c r="N366" s="157" t="s">
        <v>323</v>
      </c>
    </row>
    <row r="367" spans="1:14">
      <c r="A367" s="156">
        <v>366</v>
      </c>
      <c r="B367" s="157" t="s">
        <v>441</v>
      </c>
      <c r="C367" s="156">
        <v>3</v>
      </c>
      <c r="D367" s="157" t="s">
        <v>69</v>
      </c>
      <c r="E367" s="156">
        <v>84</v>
      </c>
      <c r="F367" s="157" t="s">
        <v>369</v>
      </c>
      <c r="G367" s="158">
        <v>20</v>
      </c>
      <c r="H367" s="158">
        <v>61056</v>
      </c>
      <c r="I367" s="158">
        <v>1221127</v>
      </c>
      <c r="J367" s="158">
        <v>41629.1090909091</v>
      </c>
      <c r="K367" s="158">
        <v>832582.181818182</v>
      </c>
      <c r="L367" s="158">
        <v>388544.818181818</v>
      </c>
      <c r="M367" s="159">
        <v>0.31818542885532702</v>
      </c>
      <c r="N367" s="157" t="s">
        <v>323</v>
      </c>
    </row>
    <row r="368" spans="1:14">
      <c r="A368" s="156">
        <v>367</v>
      </c>
      <c r="B368" s="157" t="s">
        <v>440</v>
      </c>
      <c r="C368" s="156">
        <v>7</v>
      </c>
      <c r="D368" s="157" t="s">
        <v>70</v>
      </c>
      <c r="E368" s="156">
        <v>111</v>
      </c>
      <c r="F368" s="157" t="s">
        <v>396</v>
      </c>
      <c r="G368" s="158">
        <v>100</v>
      </c>
      <c r="H368" s="158">
        <v>83735</v>
      </c>
      <c r="I368" s="158">
        <v>2093364</v>
      </c>
      <c r="J368" s="158">
        <v>17960</v>
      </c>
      <c r="K368" s="158">
        <v>1796000</v>
      </c>
      <c r="L368" s="158">
        <v>297364</v>
      </c>
      <c r="M368" s="159">
        <v>0.142050785243273</v>
      </c>
      <c r="N368" s="157" t="s">
        <v>323</v>
      </c>
    </row>
    <row r="369" spans="1:14">
      <c r="A369" s="156">
        <v>368</v>
      </c>
      <c r="B369" s="157" t="s">
        <v>440</v>
      </c>
      <c r="C369" s="156">
        <v>7</v>
      </c>
      <c r="D369" s="157" t="s">
        <v>70</v>
      </c>
      <c r="E369" s="156">
        <v>112</v>
      </c>
      <c r="F369" s="157" t="s">
        <v>397</v>
      </c>
      <c r="G369" s="158">
        <v>1344</v>
      </c>
      <c r="H369" s="158">
        <v>59159.090909090897</v>
      </c>
      <c r="I369" s="158">
        <v>79509818</v>
      </c>
      <c r="J369" s="158">
        <v>50760</v>
      </c>
      <c r="K369" s="158">
        <v>68221440</v>
      </c>
      <c r="L369" s="158">
        <v>11288378</v>
      </c>
      <c r="M369" s="159">
        <v>0.14197464267871901</v>
      </c>
      <c r="N369" s="157" t="s">
        <v>323</v>
      </c>
    </row>
    <row r="370" spans="1:14">
      <c r="A370" s="156">
        <v>369</v>
      </c>
      <c r="B370" s="157" t="s">
        <v>441</v>
      </c>
      <c r="C370" s="156">
        <v>7</v>
      </c>
      <c r="D370" s="157" t="s">
        <v>70</v>
      </c>
      <c r="E370" s="156">
        <v>111</v>
      </c>
      <c r="F370" s="157" t="s">
        <v>396</v>
      </c>
      <c r="G370" s="158">
        <v>65</v>
      </c>
      <c r="H370" s="158">
        <v>62801</v>
      </c>
      <c r="I370" s="158">
        <v>1360687</v>
      </c>
      <c r="J370" s="158">
        <v>17960</v>
      </c>
      <c r="K370" s="158">
        <v>1167400</v>
      </c>
      <c r="L370" s="158">
        <v>193287</v>
      </c>
      <c r="M370" s="159">
        <v>0.14205103745387401</v>
      </c>
      <c r="N370" s="157" t="s">
        <v>323</v>
      </c>
    </row>
    <row r="371" spans="1:14">
      <c r="A371" s="156">
        <v>370</v>
      </c>
      <c r="B371" s="157" t="s">
        <v>441</v>
      </c>
      <c r="C371" s="156">
        <v>7</v>
      </c>
      <c r="D371" s="157" t="s">
        <v>70</v>
      </c>
      <c r="E371" s="156">
        <v>112</v>
      </c>
      <c r="F371" s="157" t="s">
        <v>397</v>
      </c>
      <c r="G371" s="158">
        <v>896</v>
      </c>
      <c r="H371" s="158">
        <v>177477</v>
      </c>
      <c r="I371" s="158">
        <v>53006545</v>
      </c>
      <c r="J371" s="158">
        <v>50760</v>
      </c>
      <c r="K371" s="158">
        <v>45480960</v>
      </c>
      <c r="L371" s="158">
        <v>7525585.0000000102</v>
      </c>
      <c r="M371" s="159">
        <v>0.141974637283</v>
      </c>
      <c r="N371" s="157" t="s">
        <v>323</v>
      </c>
    </row>
    <row r="372" spans="1:14">
      <c r="A372" s="156">
        <v>371</v>
      </c>
      <c r="B372" s="157" t="s">
        <v>441</v>
      </c>
      <c r="C372" s="156">
        <v>20</v>
      </c>
      <c r="D372" s="157" t="s">
        <v>307</v>
      </c>
      <c r="E372" s="156">
        <v>124</v>
      </c>
      <c r="F372" s="157" t="s">
        <v>409</v>
      </c>
      <c r="G372" s="158">
        <v>10</v>
      </c>
      <c r="H372" s="158">
        <v>69425</v>
      </c>
      <c r="I372" s="158">
        <v>694255</v>
      </c>
      <c r="J372" s="158">
        <v>50154</v>
      </c>
      <c r="K372" s="158">
        <v>501540</v>
      </c>
      <c r="L372" s="158">
        <v>192715</v>
      </c>
      <c r="M372" s="159">
        <v>0.27758532527673602</v>
      </c>
      <c r="N372" s="157" t="s">
        <v>323</v>
      </c>
    </row>
    <row r="373" spans="1:14">
      <c r="A373" s="156">
        <v>372</v>
      </c>
      <c r="B373" s="157" t="s">
        <v>440</v>
      </c>
      <c r="C373" s="156">
        <v>32</v>
      </c>
      <c r="D373" s="157" t="s">
        <v>71</v>
      </c>
      <c r="E373" s="156">
        <v>126</v>
      </c>
      <c r="F373" s="157" t="s">
        <v>411</v>
      </c>
      <c r="G373" s="158">
        <v>10</v>
      </c>
      <c r="H373" s="158">
        <v>89697</v>
      </c>
      <c r="I373" s="158">
        <v>896973</v>
      </c>
      <c r="J373" s="158"/>
      <c r="K373" s="158">
        <v>690363.636363636</v>
      </c>
      <c r="L373" s="158">
        <v>206609.363636364</v>
      </c>
      <c r="M373" s="159">
        <v>0.23034067205630901</v>
      </c>
      <c r="N373" s="157" t="s">
        <v>323</v>
      </c>
    </row>
    <row r="374" spans="1:14">
      <c r="A374" s="156">
        <v>373</v>
      </c>
      <c r="B374" s="157" t="s">
        <v>441</v>
      </c>
      <c r="C374" s="156">
        <v>32</v>
      </c>
      <c r="D374" s="157" t="s">
        <v>71</v>
      </c>
      <c r="E374" s="156">
        <v>126</v>
      </c>
      <c r="F374" s="157" t="s">
        <v>411</v>
      </c>
      <c r="G374" s="158">
        <v>20</v>
      </c>
      <c r="H374" s="158">
        <v>89697</v>
      </c>
      <c r="I374" s="158">
        <v>1793945</v>
      </c>
      <c r="J374" s="158"/>
      <c r="K374" s="158">
        <v>1380727.2727272699</v>
      </c>
      <c r="L374" s="158">
        <v>413217.727272727</v>
      </c>
      <c r="M374" s="159">
        <v>0.23034024302457801</v>
      </c>
      <c r="N374" s="157" t="s">
        <v>323</v>
      </c>
    </row>
    <row r="375" spans="1:14">
      <c r="A375" s="156">
        <v>374</v>
      </c>
      <c r="B375" s="157" t="s">
        <v>441</v>
      </c>
      <c r="C375" s="156">
        <v>33</v>
      </c>
      <c r="D375" s="157" t="s">
        <v>72</v>
      </c>
      <c r="E375" s="156">
        <v>126</v>
      </c>
      <c r="F375" s="157" t="s">
        <v>411</v>
      </c>
      <c r="G375" s="158">
        <v>10</v>
      </c>
      <c r="H375" s="158">
        <v>87635</v>
      </c>
      <c r="I375" s="158">
        <v>876355</v>
      </c>
      <c r="J375" s="158"/>
      <c r="K375" s="158">
        <v>690363.636363636</v>
      </c>
      <c r="L375" s="158">
        <v>185991.363636364</v>
      </c>
      <c r="M375" s="159">
        <v>0.21223290063543199</v>
      </c>
      <c r="N375" s="157" t="s">
        <v>323</v>
      </c>
    </row>
    <row r="376" spans="1:14">
      <c r="A376" s="156">
        <v>375</v>
      </c>
      <c r="B376" s="157" t="s">
        <v>440</v>
      </c>
      <c r="C376" s="156">
        <v>30</v>
      </c>
      <c r="D376" s="157" t="s">
        <v>73</v>
      </c>
      <c r="E376" s="156">
        <v>31</v>
      </c>
      <c r="F376" s="157" t="s">
        <v>54</v>
      </c>
      <c r="G376" s="158">
        <v>48</v>
      </c>
      <c r="H376" s="158">
        <v>14200</v>
      </c>
      <c r="I376" s="158">
        <v>681600</v>
      </c>
      <c r="J376" s="158">
        <v>10000</v>
      </c>
      <c r="K376" s="158">
        <v>480000</v>
      </c>
      <c r="L376" s="158">
        <v>201600</v>
      </c>
      <c r="M376" s="159">
        <v>0.29577464788732399</v>
      </c>
      <c r="N376" s="157" t="s">
        <v>325</v>
      </c>
    </row>
    <row r="377" spans="1:14">
      <c r="A377" s="156">
        <v>376</v>
      </c>
      <c r="B377" s="157" t="s">
        <v>440</v>
      </c>
      <c r="C377" s="156">
        <v>5</v>
      </c>
      <c r="D377" s="157" t="s">
        <v>78</v>
      </c>
      <c r="E377" s="156">
        <v>92</v>
      </c>
      <c r="F377" s="157" t="s">
        <v>377</v>
      </c>
      <c r="G377" s="158">
        <v>100</v>
      </c>
      <c r="H377" s="158">
        <v>8194</v>
      </c>
      <c r="I377" s="158">
        <v>819364</v>
      </c>
      <c r="J377" s="158">
        <v>6555</v>
      </c>
      <c r="K377" s="158">
        <v>655500</v>
      </c>
      <c r="L377" s="158">
        <v>163864</v>
      </c>
      <c r="M377" s="159">
        <v>0.199989259962605</v>
      </c>
      <c r="N377" s="157" t="s">
        <v>325</v>
      </c>
    </row>
    <row r="378" spans="1:14">
      <c r="A378" s="156">
        <v>377</v>
      </c>
      <c r="B378" s="157" t="s">
        <v>440</v>
      </c>
      <c r="C378" s="156">
        <v>5</v>
      </c>
      <c r="D378" s="157" t="s">
        <v>78</v>
      </c>
      <c r="E378" s="156">
        <v>42</v>
      </c>
      <c r="F378" s="157" t="s">
        <v>1</v>
      </c>
      <c r="G378" s="158">
        <v>220</v>
      </c>
      <c r="H378" s="158">
        <v>4964</v>
      </c>
      <c r="I378" s="158">
        <v>1092000</v>
      </c>
      <c r="J378" s="158">
        <v>3600</v>
      </c>
      <c r="K378" s="158">
        <v>792000</v>
      </c>
      <c r="L378" s="158">
        <v>300000</v>
      </c>
      <c r="M378" s="159">
        <v>0.27472527472527503</v>
      </c>
      <c r="N378" s="157" t="s">
        <v>325</v>
      </c>
    </row>
    <row r="379" spans="1:14">
      <c r="A379" s="156">
        <v>378</v>
      </c>
      <c r="B379" s="157" t="s">
        <v>440</v>
      </c>
      <c r="C379" s="156">
        <v>5</v>
      </c>
      <c r="D379" s="157" t="s">
        <v>78</v>
      </c>
      <c r="E379" s="156">
        <v>26</v>
      </c>
      <c r="F379" s="157" t="s">
        <v>74</v>
      </c>
      <c r="G379" s="158">
        <v>48</v>
      </c>
      <c r="H379" s="158">
        <v>12500</v>
      </c>
      <c r="I379" s="158">
        <v>600000</v>
      </c>
      <c r="J379" s="158">
        <v>9000</v>
      </c>
      <c r="K379" s="158">
        <v>432000</v>
      </c>
      <c r="L379" s="158">
        <v>168000</v>
      </c>
      <c r="M379" s="159">
        <v>0.28000000000000003</v>
      </c>
      <c r="N379" s="157" t="s">
        <v>325</v>
      </c>
    </row>
    <row r="380" spans="1:14">
      <c r="A380" s="156">
        <v>379</v>
      </c>
      <c r="B380" s="157" t="s">
        <v>440</v>
      </c>
      <c r="C380" s="156">
        <v>5</v>
      </c>
      <c r="D380" s="157" t="s">
        <v>78</v>
      </c>
      <c r="E380" s="156">
        <v>28</v>
      </c>
      <c r="F380" s="157" t="s">
        <v>75</v>
      </c>
      <c r="G380" s="158">
        <v>48</v>
      </c>
      <c r="H380" s="158">
        <v>12500</v>
      </c>
      <c r="I380" s="158">
        <v>600000</v>
      </c>
      <c r="J380" s="158">
        <v>9000</v>
      </c>
      <c r="K380" s="158">
        <v>432000</v>
      </c>
      <c r="L380" s="158">
        <v>168000</v>
      </c>
      <c r="M380" s="159">
        <v>0.28000000000000003</v>
      </c>
      <c r="N380" s="157" t="s">
        <v>325</v>
      </c>
    </row>
    <row r="381" spans="1:14">
      <c r="A381" s="156">
        <v>380</v>
      </c>
      <c r="B381" s="157" t="s">
        <v>440</v>
      </c>
      <c r="C381" s="156">
        <v>5</v>
      </c>
      <c r="D381" s="157" t="s">
        <v>78</v>
      </c>
      <c r="E381" s="156">
        <v>31</v>
      </c>
      <c r="F381" s="157" t="s">
        <v>54</v>
      </c>
      <c r="G381" s="158">
        <v>48</v>
      </c>
      <c r="H381" s="158">
        <v>14000</v>
      </c>
      <c r="I381" s="158">
        <v>672000</v>
      </c>
      <c r="J381" s="158">
        <v>10000</v>
      </c>
      <c r="K381" s="158">
        <v>480000</v>
      </c>
      <c r="L381" s="158">
        <v>192000</v>
      </c>
      <c r="M381" s="159">
        <v>0.28571428571428598</v>
      </c>
      <c r="N381" s="157" t="s">
        <v>325</v>
      </c>
    </row>
    <row r="382" spans="1:14">
      <c r="A382" s="156">
        <v>381</v>
      </c>
      <c r="B382" s="157" t="s">
        <v>440</v>
      </c>
      <c r="C382" s="156">
        <v>5</v>
      </c>
      <c r="D382" s="157" t="s">
        <v>78</v>
      </c>
      <c r="E382" s="156">
        <v>142</v>
      </c>
      <c r="F382" s="157" t="s">
        <v>427</v>
      </c>
      <c r="G382" s="158">
        <v>192</v>
      </c>
      <c r="H382" s="158">
        <v>7000</v>
      </c>
      <c r="I382" s="158">
        <v>1344000</v>
      </c>
      <c r="J382" s="158">
        <v>9400</v>
      </c>
      <c r="K382" s="158">
        <v>1804800</v>
      </c>
      <c r="L382" s="158">
        <v>-460800</v>
      </c>
      <c r="M382" s="159">
        <v>-0.34285714285714303</v>
      </c>
      <c r="N382" s="157" t="s">
        <v>325</v>
      </c>
    </row>
    <row r="383" spans="1:14">
      <c r="A383" s="156">
        <v>382</v>
      </c>
      <c r="B383" s="157" t="s">
        <v>440</v>
      </c>
      <c r="C383" s="156">
        <v>5</v>
      </c>
      <c r="D383" s="157" t="s">
        <v>78</v>
      </c>
      <c r="E383" s="156">
        <v>145</v>
      </c>
      <c r="F383" s="157" t="s">
        <v>430</v>
      </c>
      <c r="G383" s="158">
        <v>100</v>
      </c>
      <c r="H383" s="158">
        <v>2500</v>
      </c>
      <c r="I383" s="158">
        <v>250000</v>
      </c>
      <c r="J383" s="158">
        <v>2500</v>
      </c>
      <c r="K383" s="158">
        <v>250000</v>
      </c>
      <c r="L383" s="158">
        <v>0</v>
      </c>
      <c r="M383" s="159">
        <v>0</v>
      </c>
      <c r="N383" s="157" t="s">
        <v>325</v>
      </c>
    </row>
    <row r="384" spans="1:14">
      <c r="A384" s="156">
        <v>383</v>
      </c>
      <c r="B384" s="157" t="s">
        <v>440</v>
      </c>
      <c r="C384" s="156">
        <v>5</v>
      </c>
      <c r="D384" s="157" t="s">
        <v>78</v>
      </c>
      <c r="E384" s="156">
        <v>144</v>
      </c>
      <c r="F384" s="157" t="s">
        <v>429</v>
      </c>
      <c r="G384" s="158">
        <v>24</v>
      </c>
      <c r="H384" s="158">
        <v>8000</v>
      </c>
      <c r="I384" s="158">
        <v>192000</v>
      </c>
      <c r="J384" s="158">
        <v>9600</v>
      </c>
      <c r="K384" s="158">
        <v>230400</v>
      </c>
      <c r="L384" s="158">
        <v>-38400</v>
      </c>
      <c r="M384" s="159">
        <v>-0.2</v>
      </c>
      <c r="N384" s="157" t="s">
        <v>325</v>
      </c>
    </row>
    <row r="385" spans="1:14">
      <c r="A385" s="156">
        <v>384</v>
      </c>
      <c r="B385" s="157" t="s">
        <v>440</v>
      </c>
      <c r="C385" s="156">
        <v>5</v>
      </c>
      <c r="D385" s="157" t="s">
        <v>78</v>
      </c>
      <c r="E385" s="156">
        <v>5</v>
      </c>
      <c r="F385" s="157" t="s">
        <v>77</v>
      </c>
      <c r="G385" s="158">
        <v>1000</v>
      </c>
      <c r="H385" s="158">
        <v>500</v>
      </c>
      <c r="I385" s="158">
        <v>500000</v>
      </c>
      <c r="J385" s="158">
        <v>330</v>
      </c>
      <c r="K385" s="158">
        <v>330000</v>
      </c>
      <c r="L385" s="158">
        <v>170000</v>
      </c>
      <c r="M385" s="159">
        <v>0.34</v>
      </c>
      <c r="N385" s="157" t="s">
        <v>325</v>
      </c>
    </row>
    <row r="386" spans="1:14">
      <c r="A386" s="156">
        <v>385</v>
      </c>
      <c r="B386" s="157" t="s">
        <v>440</v>
      </c>
      <c r="C386" s="156">
        <v>5</v>
      </c>
      <c r="D386" s="157" t="s">
        <v>78</v>
      </c>
      <c r="E386" s="156">
        <v>121</v>
      </c>
      <c r="F386" s="157" t="s">
        <v>406</v>
      </c>
      <c r="G386" s="158">
        <v>20</v>
      </c>
      <c r="H386" s="158">
        <v>34000</v>
      </c>
      <c r="I386" s="158">
        <v>680000</v>
      </c>
      <c r="J386" s="158">
        <v>17000</v>
      </c>
      <c r="K386" s="158">
        <v>340000</v>
      </c>
      <c r="L386" s="158">
        <v>340000</v>
      </c>
      <c r="M386" s="159">
        <v>0.5</v>
      </c>
      <c r="N386" s="157" t="s">
        <v>325</v>
      </c>
    </row>
    <row r="387" spans="1:14">
      <c r="A387" s="156">
        <v>386</v>
      </c>
      <c r="B387" s="157" t="s">
        <v>441</v>
      </c>
      <c r="C387" s="156">
        <v>5</v>
      </c>
      <c r="D387" s="157" t="s">
        <v>78</v>
      </c>
      <c r="E387" s="156">
        <v>92</v>
      </c>
      <c r="F387" s="157" t="s">
        <v>377</v>
      </c>
      <c r="G387" s="158">
        <v>380</v>
      </c>
      <c r="H387" s="158">
        <v>8194</v>
      </c>
      <c r="I387" s="158">
        <v>3113582</v>
      </c>
      <c r="J387" s="158">
        <v>6555</v>
      </c>
      <c r="K387" s="158">
        <v>2490900</v>
      </c>
      <c r="L387" s="158">
        <v>622682</v>
      </c>
      <c r="M387" s="159">
        <v>0.19998895163191499</v>
      </c>
      <c r="N387" s="157" t="s">
        <v>325</v>
      </c>
    </row>
    <row r="388" spans="1:14">
      <c r="A388" s="156">
        <v>387</v>
      </c>
      <c r="B388" s="157" t="s">
        <v>441</v>
      </c>
      <c r="C388" s="156">
        <v>5</v>
      </c>
      <c r="D388" s="157" t="s">
        <v>78</v>
      </c>
      <c r="E388" s="156">
        <v>42</v>
      </c>
      <c r="F388" s="157" t="s">
        <v>1</v>
      </c>
      <c r="G388" s="158">
        <v>340</v>
      </c>
      <c r="H388" s="158">
        <v>4964</v>
      </c>
      <c r="I388" s="158">
        <v>1687636</v>
      </c>
      <c r="J388" s="158">
        <v>3600</v>
      </c>
      <c r="K388" s="158">
        <v>1224000</v>
      </c>
      <c r="L388" s="158">
        <v>463636</v>
      </c>
      <c r="M388" s="159">
        <v>0.27472511844971298</v>
      </c>
      <c r="N388" s="157" t="s">
        <v>325</v>
      </c>
    </row>
    <row r="389" spans="1:14">
      <c r="A389" s="156">
        <v>388</v>
      </c>
      <c r="B389" s="157" t="s">
        <v>441</v>
      </c>
      <c r="C389" s="156">
        <v>5</v>
      </c>
      <c r="D389" s="157" t="s">
        <v>78</v>
      </c>
      <c r="E389" s="156">
        <v>26</v>
      </c>
      <c r="F389" s="157" t="s">
        <v>74</v>
      </c>
      <c r="G389" s="158">
        <v>120</v>
      </c>
      <c r="H389" s="158">
        <v>12500</v>
      </c>
      <c r="I389" s="158">
        <v>1500000</v>
      </c>
      <c r="J389" s="158">
        <v>9000</v>
      </c>
      <c r="K389" s="158">
        <v>1080000</v>
      </c>
      <c r="L389" s="158">
        <v>420000</v>
      </c>
      <c r="M389" s="159">
        <v>0.28000000000000003</v>
      </c>
      <c r="N389" s="157" t="s">
        <v>325</v>
      </c>
    </row>
    <row r="390" spans="1:14">
      <c r="A390" s="156">
        <v>389</v>
      </c>
      <c r="B390" s="157" t="s">
        <v>441</v>
      </c>
      <c r="C390" s="156">
        <v>5</v>
      </c>
      <c r="D390" s="157" t="s">
        <v>78</v>
      </c>
      <c r="E390" s="156">
        <v>28</v>
      </c>
      <c r="F390" s="157" t="s">
        <v>75</v>
      </c>
      <c r="G390" s="158">
        <v>120</v>
      </c>
      <c r="H390" s="158">
        <v>12500</v>
      </c>
      <c r="I390" s="158">
        <v>1500000</v>
      </c>
      <c r="J390" s="158">
        <v>9000</v>
      </c>
      <c r="K390" s="158">
        <v>1080000</v>
      </c>
      <c r="L390" s="158">
        <v>420000</v>
      </c>
      <c r="M390" s="159">
        <v>0.28000000000000003</v>
      </c>
      <c r="N390" s="157" t="s">
        <v>325</v>
      </c>
    </row>
    <row r="391" spans="1:14">
      <c r="A391" s="156">
        <v>390</v>
      </c>
      <c r="B391" s="157" t="s">
        <v>441</v>
      </c>
      <c r="C391" s="156">
        <v>5</v>
      </c>
      <c r="D391" s="157" t="s">
        <v>78</v>
      </c>
      <c r="E391" s="156">
        <v>31</v>
      </c>
      <c r="F391" s="157" t="s">
        <v>54</v>
      </c>
      <c r="G391" s="158">
        <v>48</v>
      </c>
      <c r="H391" s="158">
        <v>14000</v>
      </c>
      <c r="I391" s="158">
        <v>672000</v>
      </c>
      <c r="J391" s="158">
        <v>10000</v>
      </c>
      <c r="K391" s="158">
        <v>480000</v>
      </c>
      <c r="L391" s="158">
        <v>192000</v>
      </c>
      <c r="M391" s="159">
        <v>0.28571428571428598</v>
      </c>
      <c r="N391" s="157" t="s">
        <v>325</v>
      </c>
    </row>
    <row r="392" spans="1:14">
      <c r="A392" s="156">
        <v>391</v>
      </c>
      <c r="B392" s="157" t="s">
        <v>441</v>
      </c>
      <c r="C392" s="156">
        <v>5</v>
      </c>
      <c r="D392" s="157" t="s">
        <v>78</v>
      </c>
      <c r="E392" s="156">
        <v>142</v>
      </c>
      <c r="F392" s="157" t="s">
        <v>427</v>
      </c>
      <c r="G392" s="158">
        <v>360</v>
      </c>
      <c r="H392" s="158">
        <v>7000</v>
      </c>
      <c r="I392" s="158">
        <v>2520000</v>
      </c>
      <c r="J392" s="158">
        <v>9400</v>
      </c>
      <c r="K392" s="158">
        <v>3384000</v>
      </c>
      <c r="L392" s="158">
        <v>-864000</v>
      </c>
      <c r="M392" s="159">
        <v>-0.34285714285714303</v>
      </c>
      <c r="N392" s="157" t="s">
        <v>325</v>
      </c>
    </row>
    <row r="393" spans="1:14">
      <c r="A393" s="156">
        <v>392</v>
      </c>
      <c r="B393" s="157" t="s">
        <v>441</v>
      </c>
      <c r="C393" s="156">
        <v>5</v>
      </c>
      <c r="D393" s="157" t="s">
        <v>78</v>
      </c>
      <c r="E393" s="156">
        <v>4</v>
      </c>
      <c r="F393" s="157" t="s">
        <v>76</v>
      </c>
      <c r="G393" s="158">
        <v>50</v>
      </c>
      <c r="H393" s="158">
        <v>500</v>
      </c>
      <c r="I393" s="158">
        <v>25000</v>
      </c>
      <c r="J393" s="158">
        <v>330</v>
      </c>
      <c r="K393" s="158">
        <v>16500</v>
      </c>
      <c r="L393" s="158">
        <v>8500</v>
      </c>
      <c r="M393" s="159">
        <v>0.34</v>
      </c>
      <c r="N393" s="157" t="s">
        <v>325</v>
      </c>
    </row>
    <row r="394" spans="1:14">
      <c r="A394" s="156">
        <v>393</v>
      </c>
      <c r="B394" s="157" t="s">
        <v>440</v>
      </c>
      <c r="C394" s="156">
        <v>2</v>
      </c>
      <c r="D394" s="157" t="s">
        <v>79</v>
      </c>
      <c r="E394" s="156">
        <v>78</v>
      </c>
      <c r="F394" s="157" t="s">
        <v>363</v>
      </c>
      <c r="G394" s="158">
        <v>50</v>
      </c>
      <c r="H394" s="158">
        <v>91985</v>
      </c>
      <c r="I394" s="158">
        <v>4599273</v>
      </c>
      <c r="J394" s="158">
        <v>70341</v>
      </c>
      <c r="K394" s="158">
        <v>3517050</v>
      </c>
      <c r="L394" s="158">
        <v>1082223</v>
      </c>
      <c r="M394" s="159">
        <v>0.235303057678898</v>
      </c>
      <c r="N394" s="157" t="s">
        <v>323</v>
      </c>
    </row>
    <row r="395" spans="1:14">
      <c r="A395" s="156">
        <v>394</v>
      </c>
      <c r="B395" s="157" t="s">
        <v>440</v>
      </c>
      <c r="C395" s="156">
        <v>2</v>
      </c>
      <c r="D395" s="157" t="s">
        <v>79</v>
      </c>
      <c r="E395" s="156">
        <v>78</v>
      </c>
      <c r="F395" s="157" t="s">
        <v>363</v>
      </c>
      <c r="G395" s="158">
        <v>30</v>
      </c>
      <c r="H395" s="158">
        <v>91985</v>
      </c>
      <c r="I395" s="158">
        <v>2759564</v>
      </c>
      <c r="J395" s="158">
        <v>70341</v>
      </c>
      <c r="K395" s="158">
        <v>2110230</v>
      </c>
      <c r="L395" s="158">
        <v>649334</v>
      </c>
      <c r="M395" s="159">
        <v>0.235303113100475</v>
      </c>
      <c r="N395" s="157" t="s">
        <v>323</v>
      </c>
    </row>
    <row r="396" spans="1:14">
      <c r="A396" s="156">
        <v>395</v>
      </c>
      <c r="B396" s="157" t="s">
        <v>441</v>
      </c>
      <c r="C396" s="156">
        <v>2</v>
      </c>
      <c r="D396" s="157" t="s">
        <v>79</v>
      </c>
      <c r="E396" s="156">
        <v>78</v>
      </c>
      <c r="F396" s="157" t="s">
        <v>363</v>
      </c>
      <c r="G396" s="158">
        <v>18</v>
      </c>
      <c r="H396" s="158">
        <v>91985</v>
      </c>
      <c r="I396" s="158">
        <v>1655738</v>
      </c>
      <c r="J396" s="158">
        <v>70341</v>
      </c>
      <c r="K396" s="158">
        <v>1266138</v>
      </c>
      <c r="L396" s="158">
        <v>389600</v>
      </c>
      <c r="M396" s="159">
        <v>0.23530292836185401</v>
      </c>
      <c r="N396" s="157" t="s">
        <v>323</v>
      </c>
    </row>
    <row r="397" spans="1:14">
      <c r="A397" s="156">
        <v>396</v>
      </c>
      <c r="B397" s="157" t="s">
        <v>441</v>
      </c>
      <c r="C397" s="156">
        <v>2</v>
      </c>
      <c r="D397" s="157" t="s">
        <v>79</v>
      </c>
      <c r="E397" s="156">
        <v>78</v>
      </c>
      <c r="F397" s="157" t="s">
        <v>363</v>
      </c>
      <c r="G397" s="158">
        <v>30</v>
      </c>
      <c r="H397" s="158">
        <v>91985</v>
      </c>
      <c r="I397" s="158">
        <v>2759564</v>
      </c>
      <c r="J397" s="158">
        <v>70341</v>
      </c>
      <c r="K397" s="158">
        <v>2110230</v>
      </c>
      <c r="L397" s="158">
        <v>649334</v>
      </c>
      <c r="M397" s="159">
        <v>0.235303113100475</v>
      </c>
      <c r="N397" s="157" t="s">
        <v>323</v>
      </c>
    </row>
    <row r="398" spans="1:14">
      <c r="A398" s="156">
        <v>397</v>
      </c>
      <c r="B398" s="157" t="s">
        <v>441</v>
      </c>
      <c r="C398" s="156">
        <v>2</v>
      </c>
      <c r="D398" s="157" t="s">
        <v>79</v>
      </c>
      <c r="E398" s="156">
        <v>78</v>
      </c>
      <c r="F398" s="157" t="s">
        <v>363</v>
      </c>
      <c r="G398" s="158">
        <v>20</v>
      </c>
      <c r="H398" s="158">
        <v>91985</v>
      </c>
      <c r="I398" s="158">
        <v>1839709</v>
      </c>
      <c r="J398" s="158">
        <v>70341</v>
      </c>
      <c r="K398" s="158">
        <v>1406820</v>
      </c>
      <c r="L398" s="158">
        <v>432889</v>
      </c>
      <c r="M398" s="159">
        <v>0.235302974546518</v>
      </c>
      <c r="N398" s="157" t="s">
        <v>323</v>
      </c>
    </row>
    <row r="399" spans="1:14">
      <c r="A399" s="156">
        <v>398</v>
      </c>
      <c r="B399" s="157" t="s">
        <v>440</v>
      </c>
      <c r="C399" s="156">
        <v>4</v>
      </c>
      <c r="D399" s="157" t="s">
        <v>80</v>
      </c>
      <c r="E399" s="156">
        <v>136</v>
      </c>
      <c r="F399" s="157" t="s">
        <v>421</v>
      </c>
      <c r="G399" s="158">
        <v>115</v>
      </c>
      <c r="H399" s="158">
        <v>8100</v>
      </c>
      <c r="I399" s="158">
        <v>931500</v>
      </c>
      <c r="J399" s="158">
        <v>6414</v>
      </c>
      <c r="K399" s="158">
        <v>737610</v>
      </c>
      <c r="L399" s="158">
        <v>193890</v>
      </c>
      <c r="M399" s="159">
        <v>0.208148148148148</v>
      </c>
      <c r="N399" s="157" t="s">
        <v>321</v>
      </c>
    </row>
    <row r="400" spans="1:14">
      <c r="A400" s="156">
        <v>399</v>
      </c>
      <c r="B400" s="157" t="s">
        <v>440</v>
      </c>
      <c r="C400" s="156">
        <v>4</v>
      </c>
      <c r="D400" s="157" t="s">
        <v>80</v>
      </c>
      <c r="E400" s="156">
        <v>135</v>
      </c>
      <c r="F400" s="157" t="s">
        <v>420</v>
      </c>
      <c r="G400" s="158">
        <v>1910</v>
      </c>
      <c r="H400" s="158">
        <v>7860</v>
      </c>
      <c r="I400" s="158">
        <v>15012600</v>
      </c>
      <c r="J400" s="158">
        <v>6227</v>
      </c>
      <c r="K400" s="158">
        <v>11893570</v>
      </c>
      <c r="L400" s="158">
        <v>3119030</v>
      </c>
      <c r="M400" s="159">
        <v>0.20776081424936399</v>
      </c>
      <c r="N400" s="157" t="s">
        <v>321</v>
      </c>
    </row>
    <row r="401" spans="1:14">
      <c r="A401" s="156">
        <v>400</v>
      </c>
      <c r="B401" s="157" t="s">
        <v>441</v>
      </c>
      <c r="C401" s="156">
        <v>4</v>
      </c>
      <c r="D401" s="157" t="s">
        <v>80</v>
      </c>
      <c r="E401" s="156">
        <v>136</v>
      </c>
      <c r="F401" s="157" t="s">
        <v>421</v>
      </c>
      <c r="G401" s="158">
        <v>115</v>
      </c>
      <c r="H401" s="158">
        <v>8100</v>
      </c>
      <c r="I401" s="158">
        <v>931500</v>
      </c>
      <c r="J401" s="158">
        <v>6414</v>
      </c>
      <c r="K401" s="158">
        <v>737610</v>
      </c>
      <c r="L401" s="158">
        <v>193890</v>
      </c>
      <c r="M401" s="159">
        <v>0.208148148148148</v>
      </c>
      <c r="N401" s="157" t="s">
        <v>321</v>
      </c>
    </row>
    <row r="402" spans="1:14">
      <c r="A402" s="156">
        <v>401</v>
      </c>
      <c r="B402" s="157" t="s">
        <v>441</v>
      </c>
      <c r="C402" s="156">
        <v>4</v>
      </c>
      <c r="D402" s="157" t="s">
        <v>80</v>
      </c>
      <c r="E402" s="156">
        <v>135</v>
      </c>
      <c r="F402" s="157" t="s">
        <v>420</v>
      </c>
      <c r="G402" s="158">
        <v>1820</v>
      </c>
      <c r="H402" s="158">
        <v>7860</v>
      </c>
      <c r="I402" s="158">
        <v>14305200</v>
      </c>
      <c r="J402" s="158">
        <v>6227</v>
      </c>
      <c r="K402" s="158">
        <v>11333140</v>
      </c>
      <c r="L402" s="158">
        <v>2972060</v>
      </c>
      <c r="M402" s="159">
        <v>0.20776081424936399</v>
      </c>
      <c r="N402" s="157" t="s">
        <v>321</v>
      </c>
    </row>
    <row r="403" spans="1:14">
      <c r="A403" s="156">
        <v>402</v>
      </c>
      <c r="B403" s="157" t="s">
        <v>440</v>
      </c>
      <c r="C403" s="156">
        <v>10</v>
      </c>
      <c r="D403" s="157" t="s">
        <v>303</v>
      </c>
      <c r="E403" s="156">
        <v>31</v>
      </c>
      <c r="F403" s="157" t="s">
        <v>54</v>
      </c>
      <c r="G403" s="158">
        <v>120</v>
      </c>
      <c r="H403" s="158">
        <v>17100</v>
      </c>
      <c r="I403" s="158">
        <v>2052000</v>
      </c>
      <c r="J403" s="158">
        <v>10000</v>
      </c>
      <c r="K403" s="158">
        <v>1200000</v>
      </c>
      <c r="L403" s="158">
        <v>852000</v>
      </c>
      <c r="M403" s="159">
        <v>0.41520467836257302</v>
      </c>
      <c r="N403" s="157" t="s">
        <v>325</v>
      </c>
    </row>
    <row r="404" spans="1:14">
      <c r="A404" s="156">
        <v>403</v>
      </c>
      <c r="B404" s="157" t="s">
        <v>441</v>
      </c>
      <c r="C404" s="156">
        <v>10</v>
      </c>
      <c r="D404" s="157" t="s">
        <v>303</v>
      </c>
      <c r="E404" s="156">
        <v>31</v>
      </c>
      <c r="F404" s="157" t="s">
        <v>54</v>
      </c>
      <c r="G404" s="158">
        <v>120</v>
      </c>
      <c r="H404" s="158">
        <v>17100</v>
      </c>
      <c r="I404" s="158">
        <v>2052000</v>
      </c>
      <c r="J404" s="158">
        <v>10000</v>
      </c>
      <c r="K404" s="158">
        <v>1200000</v>
      </c>
      <c r="L404" s="158">
        <v>852000</v>
      </c>
      <c r="M404" s="159">
        <v>0.41520467836257302</v>
      </c>
      <c r="N404" s="157" t="s">
        <v>325</v>
      </c>
    </row>
    <row r="405" spans="1:14">
      <c r="A405" s="156">
        <v>404</v>
      </c>
      <c r="B405" s="157" t="s">
        <v>440</v>
      </c>
      <c r="C405" s="156">
        <v>24</v>
      </c>
      <c r="D405" s="157" t="s">
        <v>84</v>
      </c>
      <c r="E405" s="156">
        <v>27</v>
      </c>
      <c r="F405" s="157" t="s">
        <v>82</v>
      </c>
      <c r="G405" s="158">
        <v>48</v>
      </c>
      <c r="H405" s="158">
        <v>14700</v>
      </c>
      <c r="I405" s="158">
        <v>705600</v>
      </c>
      <c r="J405" s="158">
        <v>9000</v>
      </c>
      <c r="K405" s="158">
        <v>432000</v>
      </c>
      <c r="L405" s="158">
        <v>273600</v>
      </c>
      <c r="M405" s="159">
        <v>0.38775510204081598</v>
      </c>
      <c r="N405" s="157" t="s">
        <v>325</v>
      </c>
    </row>
    <row r="406" spans="1:14">
      <c r="A406" s="156">
        <v>405</v>
      </c>
      <c r="B406" s="157" t="s">
        <v>440</v>
      </c>
      <c r="C406" s="156">
        <v>24</v>
      </c>
      <c r="D406" s="157" t="s">
        <v>84</v>
      </c>
      <c r="E406" s="156">
        <v>29</v>
      </c>
      <c r="F406" s="157" t="s">
        <v>83</v>
      </c>
      <c r="G406" s="158">
        <v>24</v>
      </c>
      <c r="H406" s="158">
        <v>14700</v>
      </c>
      <c r="I406" s="158">
        <v>352800</v>
      </c>
      <c r="J406" s="158">
        <v>9000</v>
      </c>
      <c r="K406" s="158">
        <v>216000</v>
      </c>
      <c r="L406" s="158">
        <v>136800</v>
      </c>
      <c r="M406" s="159">
        <v>0.38775510204081598</v>
      </c>
      <c r="N406" s="157" t="s">
        <v>325</v>
      </c>
    </row>
    <row r="407" spans="1:14">
      <c r="A407" s="156">
        <v>406</v>
      </c>
      <c r="B407" s="157" t="s">
        <v>440</v>
      </c>
      <c r="C407" s="156">
        <v>24</v>
      </c>
      <c r="D407" s="157" t="s">
        <v>84</v>
      </c>
      <c r="E407" s="156">
        <v>142</v>
      </c>
      <c r="F407" s="157" t="s">
        <v>427</v>
      </c>
      <c r="G407" s="158">
        <v>72</v>
      </c>
      <c r="H407" s="158">
        <v>6200</v>
      </c>
      <c r="I407" s="158">
        <v>446400</v>
      </c>
      <c r="J407" s="158">
        <v>9400</v>
      </c>
      <c r="K407" s="158">
        <v>676800</v>
      </c>
      <c r="L407" s="158">
        <v>-230400</v>
      </c>
      <c r="M407" s="159">
        <v>-0.51612903225806495</v>
      </c>
      <c r="N407" s="157" t="s">
        <v>325</v>
      </c>
    </row>
    <row r="408" spans="1:14">
      <c r="A408" s="156">
        <v>407</v>
      </c>
      <c r="B408" s="157" t="s">
        <v>440</v>
      </c>
      <c r="C408" s="156">
        <v>24</v>
      </c>
      <c r="D408" s="157" t="s">
        <v>84</v>
      </c>
      <c r="E408" s="156">
        <v>42</v>
      </c>
      <c r="F408" s="157" t="s">
        <v>1</v>
      </c>
      <c r="G408" s="158">
        <v>70</v>
      </c>
      <c r="H408" s="158">
        <v>4964</v>
      </c>
      <c r="I408" s="158">
        <v>347455</v>
      </c>
      <c r="J408" s="158">
        <v>3600</v>
      </c>
      <c r="K408" s="158">
        <v>252000</v>
      </c>
      <c r="L408" s="158">
        <v>95455</v>
      </c>
      <c r="M408" s="159">
        <v>0.27472622353973902</v>
      </c>
      <c r="N408" s="157" t="s">
        <v>325</v>
      </c>
    </row>
    <row r="409" spans="1:14">
      <c r="A409" s="156">
        <v>408</v>
      </c>
      <c r="B409" s="157" t="s">
        <v>440</v>
      </c>
      <c r="C409" s="156">
        <v>37</v>
      </c>
      <c r="D409" s="157" t="s">
        <v>85</v>
      </c>
      <c r="E409" s="156">
        <v>126</v>
      </c>
      <c r="F409" s="157" t="s">
        <v>411</v>
      </c>
      <c r="G409" s="158">
        <v>12</v>
      </c>
      <c r="H409" s="158">
        <v>92790</v>
      </c>
      <c r="I409" s="158">
        <v>1113480</v>
      </c>
      <c r="J409" s="158">
        <v>67015.454500000007</v>
      </c>
      <c r="K409" s="158">
        <v>804185.45400000003</v>
      </c>
      <c r="L409" s="158">
        <v>309294.54599999997</v>
      </c>
      <c r="M409" s="159">
        <v>0.277772879620649</v>
      </c>
      <c r="N409" s="157" t="s">
        <v>323</v>
      </c>
    </row>
    <row r="410" spans="1:14">
      <c r="A410" s="156">
        <v>409</v>
      </c>
      <c r="B410" s="157" t="s">
        <v>440</v>
      </c>
      <c r="C410" s="156">
        <v>38</v>
      </c>
      <c r="D410" s="157" t="s">
        <v>86</v>
      </c>
      <c r="E410" s="156">
        <v>83</v>
      </c>
      <c r="F410" s="157" t="s">
        <v>368</v>
      </c>
      <c r="G410" s="158">
        <v>1</v>
      </c>
      <c r="H410" s="158">
        <v>367364</v>
      </c>
      <c r="I410" s="158">
        <v>367364</v>
      </c>
      <c r="J410" s="158">
        <v>320626.363636364</v>
      </c>
      <c r="K410" s="158">
        <v>320626.363636364</v>
      </c>
      <c r="L410" s="158">
        <v>46737.636363636397</v>
      </c>
      <c r="M410" s="159">
        <v>0.12722432346021001</v>
      </c>
      <c r="N410" s="157" t="s">
        <v>321</v>
      </c>
    </row>
    <row r="411" spans="1:14">
      <c r="A411" s="156">
        <v>410</v>
      </c>
      <c r="B411" s="157" t="s">
        <v>440</v>
      </c>
      <c r="C411" s="156">
        <v>38</v>
      </c>
      <c r="D411" s="157" t="s">
        <v>86</v>
      </c>
      <c r="E411" s="156">
        <v>82</v>
      </c>
      <c r="F411" s="157" t="s">
        <v>367</v>
      </c>
      <c r="G411" s="158">
        <v>1</v>
      </c>
      <c r="H411" s="158">
        <v>309091</v>
      </c>
      <c r="I411" s="158">
        <v>309091</v>
      </c>
      <c r="J411" s="158">
        <v>240181.818181818</v>
      </c>
      <c r="K411" s="158">
        <v>240181.818181818</v>
      </c>
      <c r="L411" s="158">
        <v>68909.181818181794</v>
      </c>
      <c r="M411" s="159">
        <v>0.222941405017234</v>
      </c>
      <c r="N411" s="157" t="s">
        <v>321</v>
      </c>
    </row>
    <row r="412" spans="1:14">
      <c r="A412" s="156">
        <v>411</v>
      </c>
      <c r="B412" s="157" t="s">
        <v>441</v>
      </c>
      <c r="C412" s="156">
        <v>24</v>
      </c>
      <c r="D412" s="157" t="s">
        <v>84</v>
      </c>
      <c r="E412" s="156">
        <v>92</v>
      </c>
      <c r="F412" s="157" t="s">
        <v>377</v>
      </c>
      <c r="G412" s="158">
        <v>685</v>
      </c>
      <c r="H412" s="158">
        <v>8194</v>
      </c>
      <c r="I412" s="158">
        <v>5612641</v>
      </c>
      <c r="J412" s="158">
        <v>6555</v>
      </c>
      <c r="K412" s="158">
        <v>4490175</v>
      </c>
      <c r="L412" s="158">
        <v>1122466</v>
      </c>
      <c r="M412" s="159">
        <v>0.199988917873065</v>
      </c>
      <c r="N412" s="157" t="s">
        <v>323</v>
      </c>
    </row>
    <row r="413" spans="1:14">
      <c r="A413" s="156">
        <v>412</v>
      </c>
      <c r="B413" s="157" t="s">
        <v>441</v>
      </c>
      <c r="C413" s="156">
        <v>24</v>
      </c>
      <c r="D413" s="157" t="s">
        <v>84</v>
      </c>
      <c r="E413" s="156">
        <v>118</v>
      </c>
      <c r="F413" s="157" t="s">
        <v>403</v>
      </c>
      <c r="G413" s="158">
        <v>35</v>
      </c>
      <c r="H413" s="158">
        <v>8439</v>
      </c>
      <c r="I413" s="158">
        <v>295368</v>
      </c>
      <c r="J413" s="158">
        <v>6750</v>
      </c>
      <c r="K413" s="158">
        <v>236250</v>
      </c>
      <c r="L413" s="158">
        <v>59118</v>
      </c>
      <c r="M413" s="159">
        <v>0.20015032095555399</v>
      </c>
      <c r="N413" s="157" t="s">
        <v>323</v>
      </c>
    </row>
    <row r="414" spans="1:14">
      <c r="A414" s="156">
        <v>413</v>
      </c>
      <c r="B414" s="157" t="s">
        <v>441</v>
      </c>
      <c r="C414" s="156">
        <v>37</v>
      </c>
      <c r="D414" s="157" t="s">
        <v>85</v>
      </c>
      <c r="E414" s="156">
        <v>126</v>
      </c>
      <c r="F414" s="157" t="s">
        <v>411</v>
      </c>
      <c r="G414" s="158">
        <v>16</v>
      </c>
      <c r="H414" s="158">
        <v>92790</v>
      </c>
      <c r="I414" s="158">
        <v>1484640</v>
      </c>
      <c r="J414" s="158">
        <v>67015.454500000007</v>
      </c>
      <c r="K414" s="158">
        <v>1072247.2720000001</v>
      </c>
      <c r="L414" s="158">
        <v>412392.728</v>
      </c>
      <c r="M414" s="159">
        <v>0.277772879620649</v>
      </c>
      <c r="N414" s="157" t="s">
        <v>323</v>
      </c>
    </row>
  </sheetData>
  <phoneticPr fontId="2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요약</vt:lpstr>
      <vt:lpstr>판매현황</vt:lpstr>
      <vt:lpstr>거래처 마스터</vt:lpstr>
      <vt:lpstr>품목 마스터</vt:lpstr>
      <vt:lpstr>거래내역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GENSMEDICAL</dc:creator>
  <cp:lastModifiedBy>김장훈  / JangHoon, Kim</cp:lastModifiedBy>
  <dcterms:created xsi:type="dcterms:W3CDTF">2026-03-18T08:14:57Z</dcterms:created>
  <dcterms:modified xsi:type="dcterms:W3CDTF">2026-03-20T00:00:29Z</dcterms:modified>
</cp:coreProperties>
</file>